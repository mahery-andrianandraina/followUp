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ORMATION\ANTIGRAVITY\"/>
    </mc:Choice>
  </mc:AlternateContent>
  <bookViews>
    <workbookView xWindow="0" yWindow="0" windowWidth="20490" windowHeight="7365"/>
  </bookViews>
  <sheets>
    <sheet name="SS27" sheetId="1" r:id="rId1"/>
  </sheets>
  <definedNames>
    <definedName name="_xlnm._FilterDatabase" localSheetId="0" hidden="1">'SS27'!$B$1:$AJ$135</definedName>
    <definedName name="_MailAutoSig" localSheetId="0">'SS27'!#REF!</definedName>
    <definedName name="_xlnm.Print_Titles" localSheetId="0">'SS27'!$1:$1</definedName>
    <definedName name="_xlnm.Print_Area" localSheetId="0">'SS27'!$B$1:$AA$75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4" i="1" l="1"/>
  <c r="B153" i="1"/>
  <c r="B152" i="1"/>
  <c r="B151" i="1"/>
  <c r="B150" i="1"/>
  <c r="B149" i="1"/>
  <c r="B148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S108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S95" i="1"/>
  <c r="B95" i="1"/>
  <c r="S94" i="1"/>
  <c r="B94" i="1"/>
  <c r="S93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S72" i="1"/>
  <c r="B72" i="1"/>
  <c r="B71" i="1"/>
  <c r="S70" i="1"/>
  <c r="B70" i="1"/>
  <c r="B69" i="1"/>
  <c r="B68" i="1"/>
  <c r="B67" i="1"/>
  <c r="B66" i="1"/>
  <c r="S65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S42" i="1"/>
  <c r="B42" i="1"/>
  <c r="B41" i="1"/>
  <c r="B40" i="1"/>
  <c r="B39" i="1"/>
  <c r="B38" i="1"/>
  <c r="B37" i="1"/>
  <c r="B36" i="1"/>
  <c r="B35" i="1"/>
  <c r="B34" i="1"/>
  <c r="B33" i="1"/>
  <c r="B32" i="1"/>
  <c r="B31" i="1"/>
  <c r="S30" i="1"/>
  <c r="B30" i="1"/>
  <c r="B29" i="1"/>
  <c r="B28" i="1"/>
  <c r="B27" i="1"/>
  <c r="B26" i="1"/>
  <c r="B25" i="1"/>
  <c r="B24" i="1"/>
  <c r="B23" i="1"/>
  <c r="B22" i="1"/>
  <c r="B21" i="1"/>
  <c r="B20" i="1"/>
  <c r="S19" i="1"/>
  <c r="B19" i="1"/>
  <c r="B18" i="1"/>
  <c r="B17" i="1"/>
  <c r="B16" i="1"/>
  <c r="B15" i="1"/>
  <c r="B14" i="1"/>
  <c r="T13" i="1"/>
  <c r="S13" i="1"/>
  <c r="B13" i="1"/>
  <c r="S12" i="1"/>
  <c r="B12" i="1"/>
  <c r="S11" i="1"/>
  <c r="B11" i="1"/>
  <c r="S10" i="1"/>
  <c r="B10" i="1"/>
  <c r="B9" i="1"/>
  <c r="B8" i="1"/>
  <c r="B7" i="1"/>
  <c r="B6" i="1"/>
  <c r="X5" i="1"/>
  <c r="B5" i="1"/>
  <c r="B4" i="1"/>
  <c r="B3" i="1"/>
  <c r="B2" i="1"/>
</calcChain>
</file>

<file path=xl/sharedStrings.xml><?xml version="1.0" encoding="utf-8"?>
<sst xmlns="http://schemas.openxmlformats.org/spreadsheetml/2006/main" count="1861" uniqueCount="555">
  <si>
    <t>Client</t>
  </si>
  <si>
    <t>Full Season</t>
  </si>
  <si>
    <t>SEASON</t>
  </si>
  <si>
    <t>P1/ P2</t>
  </si>
  <si>
    <t>Theme</t>
  </si>
  <si>
    <t>Cust Style Ref</t>
  </si>
  <si>
    <t>CTLStyleRef</t>
  </si>
  <si>
    <t>Coll</t>
  </si>
  <si>
    <t>Age Group</t>
  </si>
  <si>
    <t>Order Status</t>
  </si>
  <si>
    <t>remark</t>
  </si>
  <si>
    <t>CRP Status</t>
  </si>
  <si>
    <t>Style Type</t>
  </si>
  <si>
    <t>FABRIC</t>
  </si>
  <si>
    <t>Initial Vsl Date</t>
  </si>
  <si>
    <t>Possible Vsl date</t>
  </si>
  <si>
    <t>PO Deadline</t>
  </si>
  <si>
    <t>PO Rec Date</t>
  </si>
  <si>
    <t>Target Qty</t>
  </si>
  <si>
    <t>Conf Total</t>
  </si>
  <si>
    <t>1st Price $</t>
  </si>
  <si>
    <t>Target Price $</t>
  </si>
  <si>
    <t>Approved Price $</t>
  </si>
  <si>
    <t>TO ($)</t>
  </si>
  <si>
    <t>SAMPLE LENGTH 
READY DATE</t>
  </si>
  <si>
    <t>PROV SAMPLE DISPATCH DATE</t>
  </si>
  <si>
    <t>ACTUAL SAMPLE DISPATCH DATE</t>
  </si>
  <si>
    <t>PRIORITY</t>
  </si>
  <si>
    <t>TRIMS DEVELOPMENT</t>
  </si>
  <si>
    <t>COMMENT</t>
  </si>
  <si>
    <t>DT RECEIVED</t>
  </si>
  <si>
    <t>SPEC RECEIVED</t>
  </si>
  <si>
    <t>BULK FAB</t>
  </si>
  <si>
    <t>Possible etd</t>
  </si>
  <si>
    <t>ORCHESTRA</t>
  </si>
  <si>
    <t>SS27</t>
  </si>
  <si>
    <t>P0</t>
  </si>
  <si>
    <t>ESSENTIEL</t>
  </si>
  <si>
    <t>BARRY-BF</t>
  </si>
  <si>
    <t>ORB14250</t>
  </si>
  <si>
    <t>GAPE</t>
  </si>
  <si>
    <t>3-14Y</t>
  </si>
  <si>
    <t>TBC</t>
  </si>
  <si>
    <t>Booking</t>
  </si>
  <si>
    <t>shirt LS</t>
  </si>
  <si>
    <t>HARIAPA</t>
  </si>
  <si>
    <t>NA</t>
  </si>
  <si>
    <t>Repeat</t>
  </si>
  <si>
    <t>URBAN SKATER MOOD</t>
  </si>
  <si>
    <t>QBOARD-BG</t>
  </si>
  <si>
    <t>ORB14111</t>
  </si>
  <si>
    <t>LAGA</t>
  </si>
  <si>
    <t>3-36M</t>
  </si>
  <si>
    <t>To book</t>
  </si>
  <si>
    <t>exclusivité SG</t>
  </si>
  <si>
    <t>pant</t>
  </si>
  <si>
    <t>BOCALA</t>
  </si>
  <si>
    <t>launch 25-Mar</t>
  </si>
  <si>
    <t>QMONGO-BG</t>
  </si>
  <si>
    <t>ORB14112</t>
  </si>
  <si>
    <t>HAKERFLAX</t>
  </si>
  <si>
    <t>launch 22-Apr , waiting for trims</t>
  </si>
  <si>
    <t>FEELING SUPER COOL</t>
  </si>
  <si>
    <t>HCANADABB-BG</t>
  </si>
  <si>
    <t>ORB14118</t>
  </si>
  <si>
    <t>PO RECEIVED</t>
  </si>
  <si>
    <t>RITAIN/FLEECE</t>
  </si>
  <si>
    <t>launch 10-Apr, with substitute snap size</t>
  </si>
  <si>
    <t>KUBLIN-BG</t>
  </si>
  <si>
    <t>ORB14105</t>
  </si>
  <si>
    <t>VEMOCELA</t>
  </si>
  <si>
    <t>5.9 / 5.8</t>
  </si>
  <si>
    <t>WORLD EXPLORERS</t>
  </si>
  <si>
    <t>HCANADA- BG</t>
  </si>
  <si>
    <t>ORB14069</t>
  </si>
  <si>
    <t>8.15 / 7.50</t>
  </si>
  <si>
    <t>launch 13-Apr</t>
  </si>
  <si>
    <t>HBRESIL- BG</t>
  </si>
  <si>
    <t>ORB14068</t>
  </si>
  <si>
    <t>VEMOCELA/JERSEY</t>
  </si>
  <si>
    <t>launched 23-Mar, substitute knit fabric</t>
  </si>
  <si>
    <t>QOUFY-BG</t>
  </si>
  <si>
    <t>ORB14113</t>
  </si>
  <si>
    <t>Initial price quoted</t>
  </si>
  <si>
    <t>RINELLE</t>
  </si>
  <si>
    <t>launch 23-Mar</t>
  </si>
  <si>
    <t>QARGOPANT-BG</t>
  </si>
  <si>
    <t>ORB14108</t>
  </si>
  <si>
    <t>ERNETA</t>
  </si>
  <si>
    <t>launched 23-Mar, to use substitute trims/MAR sent on 1/Apr and BLF on 3/Apr</t>
  </si>
  <si>
    <t>QARRELPANT-BG</t>
  </si>
  <si>
    <t>ORB14123</t>
  </si>
  <si>
    <t>launched 23-Mar, to use substitute trims</t>
  </si>
  <si>
    <t>QARGOJOG-BG</t>
  </si>
  <si>
    <t>ORB14107</t>
  </si>
  <si>
    <t>ICEBERGA</t>
  </si>
  <si>
    <t>LES ESSENTIELS LAGA E27</t>
  </si>
  <si>
    <t>HUZERNENEW-BG</t>
  </si>
  <si>
    <t>ORB14173</t>
  </si>
  <si>
    <t>HAJA</t>
  </si>
  <si>
    <t>launch 29-Apr</t>
  </si>
  <si>
    <t>CHOCO CREAM</t>
  </si>
  <si>
    <t>ZEBRE- BG</t>
  </si>
  <si>
    <t>ORB14136</t>
  </si>
  <si>
    <t>ICEBERG</t>
  </si>
  <si>
    <t>BABY DOG</t>
  </si>
  <si>
    <t>MCARLIN-BG</t>
  </si>
  <si>
    <t>ORB14124S</t>
  </si>
  <si>
    <t>NAGA</t>
  </si>
  <si>
    <t>1-12M</t>
  </si>
  <si>
    <t>set</t>
  </si>
  <si>
    <t>HALOVERAX/ ICEBERGA</t>
  </si>
  <si>
    <t>MLABRADOR-BG</t>
  </si>
  <si>
    <t>ORB14122S</t>
  </si>
  <si>
    <t>ICEBERGA/SHERPA/KNIT</t>
  </si>
  <si>
    <t>launch 22-Apr, waiting for knit/sherpa</t>
  </si>
  <si>
    <t>POLO CLUB BB</t>
  </si>
  <si>
    <t>QBERKANEBBMC- BG</t>
  </si>
  <si>
    <t>ORB14086</t>
  </si>
  <si>
    <t>shirt SS</t>
  </si>
  <si>
    <t>FIGALI</t>
  </si>
  <si>
    <t>QBERKANEBB-BG</t>
  </si>
  <si>
    <t>ORB14085</t>
  </si>
  <si>
    <t>launch 29-Apr; with substitute fabric</t>
  </si>
  <si>
    <t>KLONDRESBIS- BG</t>
  </si>
  <si>
    <t>ORB14076</t>
  </si>
  <si>
    <t>REMORA</t>
  </si>
  <si>
    <t>col MAR and  launched 23-Mar</t>
  </si>
  <si>
    <t>KLISBONNE- BG</t>
  </si>
  <si>
    <t>ORB14074</t>
  </si>
  <si>
    <t>Dungaree</t>
  </si>
  <si>
    <t>KBERLINMCBIS- BG</t>
  </si>
  <si>
    <t>ORB14073S</t>
  </si>
  <si>
    <t>HABINA/FIGALI</t>
  </si>
  <si>
    <t>laucnh 29-Apr, with substitute remora</t>
  </si>
  <si>
    <t>KBERLINBIS- BG</t>
  </si>
  <si>
    <t>ORB14071S</t>
  </si>
  <si>
    <t>YACHT CLUB BB</t>
  </si>
  <si>
    <t>KBERLINMC- BG</t>
  </si>
  <si>
    <t>ORB14072S</t>
  </si>
  <si>
    <t>HABINA/REMORA</t>
  </si>
  <si>
    <t>laucnh 29-Apr</t>
  </si>
  <si>
    <t>QSAFIBBMC-BG</t>
  </si>
  <si>
    <t>ORB14093</t>
  </si>
  <si>
    <t>GIVERALE</t>
  </si>
  <si>
    <t>QSAFIBB-BG</t>
  </si>
  <si>
    <t>ORB14091</t>
  </si>
  <si>
    <t>No more fabric available waiting for substitute fabric</t>
  </si>
  <si>
    <t xml:space="preserve">YACHT CLUB BB </t>
  </si>
  <si>
    <t>KLONDRES- BG</t>
  </si>
  <si>
    <t>ORB14075</t>
  </si>
  <si>
    <t>REMORA/HEATHER</t>
  </si>
  <si>
    <t>KBERLIN- BG</t>
  </si>
  <si>
    <t>ORB14070S</t>
  </si>
  <si>
    <t>BY THE SEA</t>
  </si>
  <si>
    <t>BARK-BG</t>
  </si>
  <si>
    <t>ORB14101</t>
  </si>
  <si>
    <t>RILOUKER</t>
  </si>
  <si>
    <t>Launched 02-Apr, new fabric received 28-Apr</t>
  </si>
  <si>
    <t>BOW-BG</t>
  </si>
  <si>
    <t>ORB14102</t>
  </si>
  <si>
    <t>launch 02-Apr</t>
  </si>
  <si>
    <t xml:space="preserve">LES ESSENTIELS LAGA </t>
  </si>
  <si>
    <t>KEROALE-BG</t>
  </si>
  <si>
    <t>ORB14055</t>
  </si>
  <si>
    <t>READY TO NEGO</t>
  </si>
  <si>
    <t>ROGAVAX</t>
  </si>
  <si>
    <t xml:space="preserve">launch 23-Apr </t>
  </si>
  <si>
    <t>POLO HERITAGE</t>
  </si>
  <si>
    <t>QIFRANE-BG</t>
  </si>
  <si>
    <t>ORB14089</t>
  </si>
  <si>
    <t>Projection</t>
  </si>
  <si>
    <t>IPANAMA</t>
  </si>
  <si>
    <t>laucnh 22-Apr</t>
  </si>
  <si>
    <t>QBERKANEMC-BG</t>
  </si>
  <si>
    <t>ORB14088</t>
  </si>
  <si>
    <t>QBERKANE-BG</t>
  </si>
  <si>
    <t>ORB14087</t>
  </si>
  <si>
    <t>launch 23-Apr</t>
  </si>
  <si>
    <t>QAZILALMC-BG</t>
  </si>
  <si>
    <t>ORB14084</t>
  </si>
  <si>
    <t>HABINA</t>
  </si>
  <si>
    <t>QAZILAL-BG</t>
  </si>
  <si>
    <t>ORB14083</t>
  </si>
  <si>
    <t>6,ov</t>
  </si>
  <si>
    <t>launch 20-Apr</t>
  </si>
  <si>
    <t>QAGADIRBIS- BG</t>
  </si>
  <si>
    <t>ORB14078</t>
  </si>
  <si>
    <t>REMORA/GIVERALE</t>
  </si>
  <si>
    <t>launched 23-Mar</t>
  </si>
  <si>
    <t>YACHT CLUB</t>
  </si>
  <si>
    <t>QSAFIMC-BG</t>
  </si>
  <si>
    <t>ORB14095</t>
  </si>
  <si>
    <t>QSAFI-BG</t>
  </si>
  <si>
    <t>ORB14094</t>
  </si>
  <si>
    <t>QASABLANCA-BG</t>
  </si>
  <si>
    <t>ORB14079</t>
  </si>
  <si>
    <t>HABINA/GIVERALE</t>
  </si>
  <si>
    <t>Launch 12-Mayr. with substitute GIVERAL</t>
  </si>
  <si>
    <t>QASABLANCAMC-BG</t>
  </si>
  <si>
    <t>ORB14080</t>
  </si>
  <si>
    <t>launched 17-Feb with proposal spec</t>
  </si>
  <si>
    <t>QRABAT-BG</t>
  </si>
  <si>
    <t>ORB14090</t>
  </si>
  <si>
    <t>Gilet</t>
  </si>
  <si>
    <t>laucnh 23-Apr</t>
  </si>
  <si>
    <t>QAGADIR- BG</t>
  </si>
  <si>
    <t>ORB14077</t>
  </si>
  <si>
    <t>launch 23-Mar/color BGM 1/Apr</t>
  </si>
  <si>
    <t>SEA SIDE</t>
  </si>
  <si>
    <t>BARKBB-GB</t>
  </si>
  <si>
    <t>ORB14126</t>
  </si>
  <si>
    <t>RINDOLOUR</t>
  </si>
  <si>
    <t xml:space="preserve">No need SMS </t>
  </si>
  <si>
    <t>KANVERS- BG</t>
  </si>
  <si>
    <t>ORB14128</t>
  </si>
  <si>
    <t>BAFOU</t>
  </si>
  <si>
    <t>KANVERSITY-BG</t>
  </si>
  <si>
    <t>ORB14129</t>
  </si>
  <si>
    <t>KANVERSO-BG</t>
  </si>
  <si>
    <t>ORB14130</t>
  </si>
  <si>
    <t>41-50CM</t>
  </si>
  <si>
    <t>hat</t>
  </si>
  <si>
    <t>KAREENML-BG</t>
  </si>
  <si>
    <t>ORB14255</t>
  </si>
  <si>
    <t>waiting FU,SMV,Fabric price</t>
  </si>
  <si>
    <t>LAMIACE</t>
  </si>
  <si>
    <t>LARTPACRA-BF</t>
  </si>
  <si>
    <t>ORB14251</t>
  </si>
  <si>
    <t>waiting FU,SMV</t>
  </si>
  <si>
    <t>LEMALLOYAX/RITAMPA</t>
  </si>
  <si>
    <t>P1</t>
  </si>
  <si>
    <t>QAFOU-BG</t>
  </si>
  <si>
    <t>ORB14106</t>
  </si>
  <si>
    <t>QAYURRE-BG</t>
  </si>
  <si>
    <t>ORB14110</t>
  </si>
  <si>
    <t>BONTON</t>
  </si>
  <si>
    <t>LITTLE PAPER BOAT</t>
  </si>
  <si>
    <t>DECANDO- BG</t>
  </si>
  <si>
    <t>ORB14127S</t>
  </si>
  <si>
    <t>RULIFLY/JERSEY/RIB</t>
  </si>
  <si>
    <t>to launch 19-May, substitute knit</t>
  </si>
  <si>
    <t>DEKAR-BG</t>
  </si>
  <si>
    <t>ORB14147</t>
  </si>
  <si>
    <t>38-44CM</t>
  </si>
  <si>
    <t>waiting SMV</t>
  </si>
  <si>
    <t>RULIFLY</t>
  </si>
  <si>
    <t xml:space="preserve">launch 7-MayWaiting trims </t>
  </si>
  <si>
    <t>DEHEL-BG</t>
  </si>
  <si>
    <t>ORB14146S</t>
  </si>
  <si>
    <t>RULIFLY/EZILORAX</t>
  </si>
  <si>
    <t xml:space="preserve">launch 6-MayWaiting trims </t>
  </si>
  <si>
    <t>DECANARD-BG</t>
  </si>
  <si>
    <t>ORB14145S</t>
  </si>
  <si>
    <t>to launch 20-May</t>
  </si>
  <si>
    <t>DINO FRIENDS CLUB</t>
  </si>
  <si>
    <t>LALICE-BG</t>
  </si>
  <si>
    <t>ORB14170</t>
  </si>
  <si>
    <t>LAINAX</t>
  </si>
  <si>
    <t>LARIDEL-BG</t>
  </si>
  <si>
    <t>ORB14169</t>
  </si>
  <si>
    <t>RITAMPO</t>
  </si>
  <si>
    <t>launch 18-May</t>
  </si>
  <si>
    <t>LISOLA-BG</t>
  </si>
  <si>
    <t>ORB14168</t>
  </si>
  <si>
    <t>ICOLITA</t>
  </si>
  <si>
    <t>LOBLIO- BG</t>
  </si>
  <si>
    <t>ORB14194</t>
  </si>
  <si>
    <t>vest</t>
  </si>
  <si>
    <t>WILD GREEN</t>
  </si>
  <si>
    <t>QASSEM-BG</t>
  </si>
  <si>
    <t>ORB14167</t>
  </si>
  <si>
    <t>short</t>
  </si>
  <si>
    <t>ROSTELLA</t>
  </si>
  <si>
    <t>QUINTO-BG</t>
  </si>
  <si>
    <t>ORB14166</t>
  </si>
  <si>
    <t>EZINOLA</t>
  </si>
  <si>
    <t xml:space="preserve">launch 6-May Waiting trims </t>
  </si>
  <si>
    <t>SOFT ELEGANCE BB</t>
  </si>
  <si>
    <t>LERTI-BG</t>
  </si>
  <si>
    <t>ORB14261</t>
  </si>
  <si>
    <t>REFLET</t>
  </si>
  <si>
    <t>to launch 18-May</t>
  </si>
  <si>
    <t>LONIA-BG</t>
  </si>
  <si>
    <t>ORB14264</t>
  </si>
  <si>
    <t>RAFADIMA</t>
  </si>
  <si>
    <t>to launch 01-Juin</t>
  </si>
  <si>
    <t>LINO- BG</t>
  </si>
  <si>
    <t>ORB14263S</t>
  </si>
  <si>
    <t>RAFADIMA/HOMBANE</t>
  </si>
  <si>
    <t>LIAO- BG</t>
  </si>
  <si>
    <t>ORB14262</t>
  </si>
  <si>
    <t>KAMBOURG-BG</t>
  </si>
  <si>
    <t>ORB14172</t>
  </si>
  <si>
    <t>RIVEFLA</t>
  </si>
  <si>
    <t xml:space="preserve">launch 20-Apr Waiting for trims </t>
  </si>
  <si>
    <t>SOFT ELEGANCE</t>
  </si>
  <si>
    <t>QSERVANE-BG</t>
  </si>
  <si>
    <t>ORB14191</t>
  </si>
  <si>
    <t>HOMBANE</t>
  </si>
  <si>
    <t>launch 7-May</t>
  </si>
  <si>
    <t>QRABAT2-BG</t>
  </si>
  <si>
    <t>ORB14192</t>
  </si>
  <si>
    <t>launch 7-May, new fabric to be ready 29-May</t>
  </si>
  <si>
    <t>QLAURIE-BG</t>
  </si>
  <si>
    <t>ORB14193</t>
  </si>
  <si>
    <t>50-56CM</t>
  </si>
  <si>
    <t>QAMELIE-BG</t>
  </si>
  <si>
    <t>ORB14223</t>
  </si>
  <si>
    <t>launch 8-May</t>
  </si>
  <si>
    <t>P2</t>
  </si>
  <si>
    <t>BABOU-BG</t>
  </si>
  <si>
    <t>ORB14140</t>
  </si>
  <si>
    <t>LIAMKER</t>
  </si>
  <si>
    <t>launch 22-April/Balance color  BLC 22/May</t>
  </si>
  <si>
    <t>MY FOOTBALL TEAM</t>
  </si>
  <si>
    <t>DEWILP- BG</t>
  </si>
  <si>
    <t>ORB14243</t>
  </si>
  <si>
    <t>RAISHAX</t>
  </si>
  <si>
    <t>LES ESSENTIELS LAGA</t>
  </si>
  <si>
    <t>KASPER-BG</t>
  </si>
  <si>
    <t>ORB14052</t>
  </si>
  <si>
    <t>HAGONAX</t>
  </si>
  <si>
    <t xml:space="preserve">LES ESSENTIELS GARCON </t>
  </si>
  <si>
    <t>BADIN-BG</t>
  </si>
  <si>
    <t>ORB14057</t>
  </si>
  <si>
    <t>REPEAT</t>
  </si>
  <si>
    <t>RUFIVA</t>
  </si>
  <si>
    <t>launch 7-May/color VEF sent on 13/May</t>
  </si>
  <si>
    <t>PREMIERS JOURS GARCON - E27</t>
  </si>
  <si>
    <t>CHARDONAY-BF</t>
  </si>
  <si>
    <t>ORB14120S</t>
  </si>
  <si>
    <t>N-6M</t>
  </si>
  <si>
    <t>Costing done</t>
  </si>
  <si>
    <t>EZILORAX/SHERPA/JERSEY/RIB</t>
  </si>
  <si>
    <t>stock</t>
  </si>
  <si>
    <t>to launch 28-May</t>
  </si>
  <si>
    <t>CHEVROTAIN-BF</t>
  </si>
  <si>
    <t>ORB14121S</t>
  </si>
  <si>
    <t>EZILORAX/JERSEY/RIB</t>
  </si>
  <si>
    <t>CHIC ET MIGNON</t>
  </si>
  <si>
    <t>COUBLANCMC- BG</t>
  </si>
  <si>
    <t>ORB14184S</t>
  </si>
  <si>
    <t>FALONE/PIQUE/RIB</t>
  </si>
  <si>
    <t xml:space="preserve">launch on 18-May Waiting knit IH 18-May fabric and trims </t>
  </si>
  <si>
    <t>COUBLANC- BG</t>
  </si>
  <si>
    <t>ORB14183S</t>
  </si>
  <si>
    <t>COLLIOURE- BG</t>
  </si>
  <si>
    <t>ORB14182</t>
  </si>
  <si>
    <t>Jumpsuit</t>
  </si>
  <si>
    <t>FALONE/LIBERTO</t>
  </si>
  <si>
    <t>launch 11-May/substitute patch ready 20/May</t>
  </si>
  <si>
    <t>CAMBON- BG</t>
  </si>
  <si>
    <t>ORB14181</t>
  </si>
  <si>
    <t>FALONE</t>
  </si>
  <si>
    <t>launch 11-May</t>
  </si>
  <si>
    <t>CALIGNAC- BG</t>
  </si>
  <si>
    <t>ORB14180S</t>
  </si>
  <si>
    <t>FALONE/LANICRA</t>
  </si>
  <si>
    <t>launch 11-May( there are 2 different bottom)</t>
  </si>
  <si>
    <t>SUMMER DAY BB</t>
  </si>
  <si>
    <t>CASCADE-BG</t>
  </si>
  <si>
    <t>ORB14207</t>
  </si>
  <si>
    <t>BICABA</t>
  </si>
  <si>
    <t>CLAYA-BG</t>
  </si>
  <si>
    <t>ORB14208</t>
  </si>
  <si>
    <t>RADIOUS</t>
  </si>
  <si>
    <t>launch 6-May/substitute patch ready 20/May</t>
  </si>
  <si>
    <t>CROPIQE-BG</t>
  </si>
  <si>
    <t>ORB14209</t>
  </si>
  <si>
    <t>HOPHELIE</t>
  </si>
  <si>
    <t>launch 6-May</t>
  </si>
  <si>
    <t>CUNSHINE-BG</t>
  </si>
  <si>
    <t>ORB14210</t>
  </si>
  <si>
    <t>CURACAO-BG</t>
  </si>
  <si>
    <t>ORB14211S</t>
  </si>
  <si>
    <t>BICABA/JERSEY/RIB</t>
  </si>
  <si>
    <t>knit fabric under development</t>
  </si>
  <si>
    <t>KAREEN-BG</t>
  </si>
  <si>
    <t>ORB14254</t>
  </si>
  <si>
    <t>COOL VIBES CLUB</t>
  </si>
  <si>
    <t>DAPALEN-BG</t>
  </si>
  <si>
    <t>ORB14272</t>
  </si>
  <si>
    <t>TBR</t>
  </si>
  <si>
    <t>DEPAU-BG</t>
  </si>
  <si>
    <t>ORB14273</t>
  </si>
  <si>
    <t>SUMMER DAY</t>
  </si>
  <si>
    <t>HSAFI-BG</t>
  </si>
  <si>
    <t>ORB14157</t>
  </si>
  <si>
    <t>HOUAKAM-BG</t>
  </si>
  <si>
    <t>ORB14156</t>
  </si>
  <si>
    <t>HNAZARE- BG</t>
  </si>
  <si>
    <t>ORB14155</t>
  </si>
  <si>
    <t>HBIARRITZ-BG</t>
  </si>
  <si>
    <t>ORB14154</t>
  </si>
  <si>
    <t>GISTOKERAX</t>
  </si>
  <si>
    <t>BOLFAM- BG</t>
  </si>
  <si>
    <t>ORB14144</t>
  </si>
  <si>
    <t>launch 20-April</t>
  </si>
  <si>
    <t>KYANO-BG</t>
  </si>
  <si>
    <t>ORB14171</t>
  </si>
  <si>
    <t>waiting SMV,Fabric price</t>
  </si>
  <si>
    <t>BAFOU/BOUFY</t>
  </si>
  <si>
    <t xml:space="preserve">launch 20-Apr </t>
  </si>
  <si>
    <t>KOCONUT-BG</t>
  </si>
  <si>
    <t>ORB14260</t>
  </si>
  <si>
    <t>Waiting for spec</t>
  </si>
  <si>
    <t>LARTPAG-BE</t>
  </si>
  <si>
    <t>ORB14252</t>
  </si>
  <si>
    <t>SUMMER LIGHT</t>
  </si>
  <si>
    <t>QSARAH-BG</t>
  </si>
  <si>
    <t>ORB14215</t>
  </si>
  <si>
    <t>4-14Y</t>
  </si>
  <si>
    <t>launch 07-May waiting trims</t>
  </si>
  <si>
    <t>QSEVE-BG</t>
  </si>
  <si>
    <t>ORB14216</t>
  </si>
  <si>
    <t>HOSHI</t>
  </si>
  <si>
    <t>QSTEPH-BG</t>
  </si>
  <si>
    <t>ORB14217</t>
  </si>
  <si>
    <t>HELTIA</t>
  </si>
  <si>
    <t>launch 07-May</t>
  </si>
  <si>
    <t>MY SWEET LION</t>
  </si>
  <si>
    <t>DENOLLEN-BG</t>
  </si>
  <si>
    <t>ORB14234</t>
  </si>
  <si>
    <t>DEMARNE-BG</t>
  </si>
  <si>
    <t>ORB14233S</t>
  </si>
  <si>
    <t>To launch 28-May</t>
  </si>
  <si>
    <t>KAMERA-BG</t>
  </si>
  <si>
    <t>ORB14253</t>
  </si>
  <si>
    <t>KIMBERLIN-BG</t>
  </si>
  <si>
    <t>ORB14258</t>
  </si>
  <si>
    <t>LIAM</t>
  </si>
  <si>
    <t>KLEINT-BG</t>
  </si>
  <si>
    <t>ORB14259</t>
  </si>
  <si>
    <t>FLORENCE</t>
  </si>
  <si>
    <t>HERE COMES THE FUN</t>
  </si>
  <si>
    <t>HKYNAI- BG</t>
  </si>
  <si>
    <t>ORB14237</t>
  </si>
  <si>
    <t>BONGO</t>
  </si>
  <si>
    <t>Waiting for fabric</t>
  </si>
  <si>
    <t>HKORAY-BG</t>
  </si>
  <si>
    <t>ORB14236</t>
  </si>
  <si>
    <t>FRANCA</t>
  </si>
  <si>
    <t>HKARL-BG</t>
  </si>
  <si>
    <t>ORB14235</t>
  </si>
  <si>
    <t>FAVIERA</t>
  </si>
  <si>
    <t>BEGA-BG</t>
  </si>
  <si>
    <t>ORB14142</t>
  </si>
  <si>
    <t>GENTINO</t>
  </si>
  <si>
    <t>BAJA-BG</t>
  </si>
  <si>
    <t>ORB14141</t>
  </si>
  <si>
    <t>BRACELA</t>
  </si>
  <si>
    <t>launch 23-April</t>
  </si>
  <si>
    <t>BITATION-BG</t>
  </si>
  <si>
    <t>ORB14143</t>
  </si>
  <si>
    <t>launch 22-April</t>
  </si>
  <si>
    <t>KCAPRI-BG</t>
  </si>
  <si>
    <t>ORB14256</t>
  </si>
  <si>
    <t>KHAWAI-BG</t>
  </si>
  <si>
    <t>ORB14257</t>
  </si>
  <si>
    <t>VANTOFLAX</t>
  </si>
  <si>
    <t>BABHI-BG</t>
  </si>
  <si>
    <t>ORB14231</t>
  </si>
  <si>
    <t>REBIFLY</t>
  </si>
  <si>
    <t>launch on 21-May</t>
  </si>
  <si>
    <t>SALTY VIBES</t>
  </si>
  <si>
    <t>HRONY-BG</t>
  </si>
  <si>
    <t>ORB14232</t>
  </si>
  <si>
    <t>HAJAINA</t>
  </si>
  <si>
    <t>HRORY-BG</t>
  </si>
  <si>
    <t>ORB14242</t>
  </si>
  <si>
    <t>BROCO</t>
  </si>
  <si>
    <t>COASTAL CREW</t>
  </si>
  <si>
    <t>QOFFSHORE- BG</t>
  </si>
  <si>
    <t>ORB14239</t>
  </si>
  <si>
    <t>QFOAM-BG</t>
  </si>
  <si>
    <t>ORB14238</t>
  </si>
  <si>
    <t>SUMMER LIGHT BB</t>
  </si>
  <si>
    <t>EBACH-BG</t>
  </si>
  <si>
    <t>ORB14266S</t>
  </si>
  <si>
    <t>HAJA/ HOSHI</t>
  </si>
  <si>
    <t>ELOSCAR-BG</t>
  </si>
  <si>
    <t>ORB14267</t>
  </si>
  <si>
    <t>ENADIA-BG</t>
  </si>
  <si>
    <t>ORB14268</t>
  </si>
  <si>
    <t>EREA-BG</t>
  </si>
  <si>
    <t>ORB14269</t>
  </si>
  <si>
    <t>VROOMY CLUB</t>
  </si>
  <si>
    <t>ZACH-BG</t>
  </si>
  <si>
    <t>ORB14270</t>
  </si>
  <si>
    <t>ROUFLY</t>
  </si>
  <si>
    <t>LA PLAGE</t>
  </si>
  <si>
    <t>BULDAK- BG</t>
  </si>
  <si>
    <t>ORB14179S</t>
  </si>
  <si>
    <t>RAYOLA</t>
  </si>
  <si>
    <t>launch 22-April, shading on top and bottom- camel to send on 13/May</t>
  </si>
  <si>
    <t>BADAM-BG</t>
  </si>
  <si>
    <t>ORB14203</t>
  </si>
  <si>
    <t>launch 06-May waiting trims</t>
  </si>
  <si>
    <t>BAHINN-BG</t>
  </si>
  <si>
    <t>ORB14204</t>
  </si>
  <si>
    <t>launch06-May waiting trims</t>
  </si>
  <si>
    <t>BALTI-BG</t>
  </si>
  <si>
    <t>ORB14205</t>
  </si>
  <si>
    <t>BAVET-BG</t>
  </si>
  <si>
    <t>ORB14206</t>
  </si>
  <si>
    <t>ROSTELLO</t>
  </si>
  <si>
    <t>launch 12-May, waiting trims</t>
  </si>
  <si>
    <t>PREMIERS JOURS PLEIN ETE GARCON E27</t>
  </si>
  <si>
    <t>CAPPUCINO-BG</t>
  </si>
  <si>
    <t>ORB14271S</t>
  </si>
  <si>
    <t>TBC/JERSEY/RIB</t>
  </si>
  <si>
    <t>CHOUVERT-BG</t>
  </si>
  <si>
    <t>ORB14275S</t>
  </si>
  <si>
    <t>CREILGA-BG</t>
  </si>
  <si>
    <t>ORB14276</t>
  </si>
  <si>
    <t>CAMP NOMAD</t>
  </si>
  <si>
    <t>HNESTO-BG</t>
  </si>
  <si>
    <t>ORB14274</t>
  </si>
  <si>
    <t>RODRIGA</t>
  </si>
  <si>
    <t>HNORRIS-BG</t>
  </si>
  <si>
    <t>ORB14277</t>
  </si>
  <si>
    <t>SUN TRIB</t>
  </si>
  <si>
    <t>HTHIBO-BG</t>
  </si>
  <si>
    <t>ORB14278</t>
  </si>
  <si>
    <t>FESTIF</t>
  </si>
  <si>
    <t>HTINO-BG</t>
  </si>
  <si>
    <t>ORB14279</t>
  </si>
  <si>
    <t>HTYRON-BG</t>
  </si>
  <si>
    <t>ORB14280</t>
  </si>
  <si>
    <t>ROGAVA</t>
  </si>
  <si>
    <t>CANCELLED</t>
  </si>
  <si>
    <t>HUZERNCOLOR-BG</t>
  </si>
  <si>
    <t>ORB14050</t>
  </si>
  <si>
    <t>change to huzernenew</t>
  </si>
  <si>
    <t>Waiting for DT</t>
  </si>
  <si>
    <t>LES ESSENTIELS GARCON</t>
  </si>
  <si>
    <t>LUXEMBOURG-BE</t>
  </si>
  <si>
    <t>ORB14099</t>
  </si>
  <si>
    <t>change to QARRELPANT</t>
  </si>
  <si>
    <t>KOCOCATGA-BG</t>
  </si>
  <si>
    <t>ORB14049</t>
  </si>
  <si>
    <t>change to BOLFAM</t>
  </si>
  <si>
    <t>KAYANNE-BG</t>
  </si>
  <si>
    <t>ORB14054</t>
  </si>
  <si>
    <t>change to kambourg</t>
  </si>
  <si>
    <t>QORIKO-BG</t>
  </si>
  <si>
    <t>ORB14047</t>
  </si>
  <si>
    <t>change to KYANO</t>
  </si>
  <si>
    <t xml:space="preserve">RINELLE </t>
  </si>
  <si>
    <t>QAZILALBBMC- BG</t>
  </si>
  <si>
    <t>ORB14082</t>
  </si>
  <si>
    <t>launched with proposal spec</t>
  </si>
  <si>
    <t>QAZILALBB- BG</t>
  </si>
  <si>
    <t>ORB14081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</si>
</sst>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;@"/>
    <numFmt numFmtId="165" formatCode="_(* #,##0.00_);_(* \(#,##0.00\);_(* &quot;-&quot;??_);_(@_)"/>
    <numFmt numFmtId="166" formatCode="&quot;$&quot;#,##0.00_);[Red]\(&quot;$&quot;#,##0.00\)"/>
    <numFmt numFmtId="167" formatCode="#&quot; &quot;##0"/>
    <numFmt numFmtId="168" formatCode="[$-409]dd/mmm/yy;@"/>
    <numFmt numFmtId="169" formatCode="[$-409]d/mmm/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Frutiger LT 55 Roman"/>
    </font>
    <font>
      <b/>
      <sz val="11"/>
      <name val="Frutiger LT 55 Roman"/>
    </font>
    <font>
      <b/>
      <sz val="11"/>
      <color theme="1"/>
      <name val="Frutiger LT 55 Roman"/>
    </font>
    <font>
      <sz val="10"/>
      <color theme="1"/>
      <name val="Frutiger LT 55 Roman"/>
    </font>
    <font>
      <sz val="11"/>
      <name val="Frutiger LT 55 Roman"/>
    </font>
    <font>
      <sz val="11"/>
      <color theme="1"/>
      <name val="Frutiger LT 55 Roman"/>
    </font>
    <font>
      <sz val="10"/>
      <name val="Frutiger LT 55 Roman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3" fontId="3" fillId="0" borderId="1" xfId="1" applyNumberFormat="1" applyFont="1" applyFill="1" applyBorder="1" applyAlignment="1">
      <alignment horizontal="left" vertical="center" wrapText="1"/>
    </xf>
    <xf numFmtId="166" fontId="4" fillId="0" borderId="1" xfId="1" applyNumberFormat="1" applyFont="1" applyFill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left" vertical="center" wrapText="1"/>
    </xf>
    <xf numFmtId="168" fontId="4" fillId="0" borderId="1" xfId="0" applyNumberFormat="1" applyFont="1" applyBorder="1" applyAlignment="1">
      <alignment horizontal="left" vertical="center" wrapText="1"/>
    </xf>
    <xf numFmtId="16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/>
    </xf>
    <xf numFmtId="3" fontId="7" fillId="2" borderId="1" xfId="0" applyNumberFormat="1" applyFont="1" applyFill="1" applyBorder="1" applyAlignment="1">
      <alignment horizontal="left"/>
    </xf>
    <xf numFmtId="3" fontId="7" fillId="2" borderId="1" xfId="1" applyNumberFormat="1" applyFont="1" applyFill="1" applyBorder="1" applyAlignment="1">
      <alignment horizontal="left"/>
    </xf>
    <xf numFmtId="166" fontId="7" fillId="2" borderId="1" xfId="1" applyNumberFormat="1" applyFont="1" applyFill="1" applyBorder="1" applyAlignment="1">
      <alignment horizontal="left"/>
    </xf>
    <xf numFmtId="16" fontId="7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top"/>
    </xf>
    <xf numFmtId="3" fontId="7" fillId="3" borderId="1" xfId="0" applyNumberFormat="1" applyFont="1" applyFill="1" applyBorder="1" applyAlignment="1">
      <alignment horizontal="left"/>
    </xf>
    <xf numFmtId="3" fontId="7" fillId="3" borderId="1" xfId="1" applyNumberFormat="1" applyFont="1" applyFill="1" applyBorder="1" applyAlignment="1">
      <alignment horizontal="left"/>
    </xf>
    <xf numFmtId="166" fontId="7" fillId="3" borderId="1" xfId="1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64" fontId="6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top"/>
    </xf>
    <xf numFmtId="3" fontId="7" fillId="4" borderId="1" xfId="0" applyNumberFormat="1" applyFont="1" applyFill="1" applyBorder="1" applyAlignment="1">
      <alignment horizontal="left"/>
    </xf>
    <xf numFmtId="3" fontId="7" fillId="4" borderId="1" xfId="1" applyNumberFormat="1" applyFont="1" applyFill="1" applyBorder="1" applyAlignment="1">
      <alignment horizontal="left"/>
    </xf>
    <xf numFmtId="166" fontId="7" fillId="4" borderId="1" xfId="1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164" fontId="6" fillId="5" borderId="1" xfId="0" applyNumberFormat="1" applyFont="1" applyFill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left"/>
    </xf>
    <xf numFmtId="166" fontId="7" fillId="0" borderId="1" xfId="1" applyNumberFormat="1" applyFont="1" applyBorder="1" applyAlignment="1">
      <alignment horizontal="left"/>
    </xf>
    <xf numFmtId="3" fontId="7" fillId="6" borderId="1" xfId="0" applyNumberFormat="1" applyFont="1" applyFill="1" applyBorder="1" applyAlignment="1">
      <alignment horizontal="left"/>
    </xf>
    <xf numFmtId="0" fontId="7" fillId="5" borderId="1" xfId="0" applyFont="1" applyFill="1" applyBorder="1"/>
    <xf numFmtId="3" fontId="6" fillId="0" borderId="1" xfId="0" applyNumberFormat="1" applyFont="1" applyBorder="1" applyAlignment="1">
      <alignment horizontal="left"/>
    </xf>
    <xf numFmtId="0" fontId="7" fillId="0" borderId="1" xfId="0" applyFont="1" applyBorder="1"/>
    <xf numFmtId="3" fontId="7" fillId="0" borderId="1" xfId="0" applyNumberFormat="1" applyFont="1" applyBorder="1"/>
    <xf numFmtId="0" fontId="7" fillId="5" borderId="1" xfId="0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0" xfId="1" applyNumberFormat="1" applyFont="1" applyBorder="1" applyAlignment="1">
      <alignment horizontal="left"/>
    </xf>
    <xf numFmtId="166" fontId="5" fillId="0" borderId="0" xfId="1" applyNumberFormat="1" applyFont="1" applyBorder="1" applyAlignment="1">
      <alignment horizontal="left"/>
    </xf>
    <xf numFmtId="3" fontId="5" fillId="6" borderId="0" xfId="0" applyNumberFormat="1" applyFont="1" applyFill="1" applyAlignment="1">
      <alignment horizontal="left"/>
    </xf>
    <xf numFmtId="168" fontId="5" fillId="0" borderId="0" xfId="0" applyNumberFormat="1" applyFont="1" applyAlignment="1">
      <alignment horizontal="left"/>
    </xf>
    <xf numFmtId="169" fontId="5" fillId="0" borderId="0" xfId="0" applyNumberFormat="1" applyFont="1" applyAlignment="1">
      <alignment horizontal="left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164" fontId="6" fillId="7" borderId="1" xfId="0" applyNumberFormat="1" applyFont="1" applyFill="1" applyBorder="1" applyAlignment="1">
      <alignment horizontal="left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top"/>
    </xf>
    <xf numFmtId="3" fontId="7" fillId="7" borderId="1" xfId="0" applyNumberFormat="1" applyFont="1" applyFill="1" applyBorder="1" applyAlignment="1">
      <alignment horizontal="left"/>
    </xf>
    <xf numFmtId="3" fontId="7" fillId="7" borderId="1" xfId="1" applyNumberFormat="1" applyFont="1" applyFill="1" applyBorder="1" applyAlignment="1">
      <alignment horizontal="left"/>
    </xf>
    <xf numFmtId="166" fontId="7" fillId="7" borderId="1" xfId="1" applyNumberFormat="1" applyFont="1" applyFill="1" applyBorder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H154"/>
  <sheetViews>
    <sheetView tabSelected="1" zoomScale="70" zoomScaleNormal="70" zoomScaleSheetLayoutView="9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E12" sqref="E12"/>
    </sheetView>
  </sheetViews>
  <sheetFormatPr baseColWidth="10" defaultColWidth="11.42578125" defaultRowHeight="12.75" outlineLevelCol="1"/>
  <cols>
    <col min="1" max="1" width="11.42578125" style="11"/>
    <col min="2" max="2" width="12.5703125" style="56" customWidth="1"/>
    <col min="3" max="3" width="6.42578125" style="57" customWidth="1"/>
    <col min="4" max="4" width="8.85546875" style="57" customWidth="1"/>
    <col min="5" max="5" width="43.42578125" style="57" bestFit="1" customWidth="1"/>
    <col min="6" max="6" width="21.42578125" style="57" customWidth="1"/>
    <col min="7" max="7" width="13.28515625" style="57" customWidth="1"/>
    <col min="8" max="8" width="17.28515625" style="57" customWidth="1"/>
    <col min="9" max="9" width="12.42578125" style="57" customWidth="1"/>
    <col min="10" max="10" width="33.7109375" style="56" customWidth="1"/>
    <col min="11" max="11" width="15" style="56" customWidth="1"/>
    <col min="12" max="12" width="12.7109375" style="56" customWidth="1"/>
    <col min="13" max="13" width="14.28515625" style="58" customWidth="1"/>
    <col min="14" max="14" width="26.7109375" style="57" customWidth="1"/>
    <col min="15" max="18" width="15.5703125" style="59" customWidth="1"/>
    <col min="19" max="19" width="15.5703125" style="60" customWidth="1"/>
    <col min="20" max="20" width="15.5703125" style="61" customWidth="1"/>
    <col min="21" max="23" width="15.5703125" style="62" customWidth="1"/>
    <col min="24" max="24" width="15.5703125" style="63" customWidth="1"/>
    <col min="25" max="25" width="15.5703125" style="57" customWidth="1" outlineLevel="1"/>
    <col min="26" max="26" width="15.5703125" style="64" customWidth="1" outlineLevel="1"/>
    <col min="27" max="27" width="14.85546875" style="65" customWidth="1" outlineLevel="1"/>
    <col min="28" max="28" width="4.5703125" style="57" customWidth="1" outlineLevel="1"/>
    <col min="29" max="29" width="22.42578125" style="57" bestFit="1" customWidth="1" outlineLevel="1"/>
    <col min="30" max="30" width="43.5703125" style="57" customWidth="1" outlineLevel="1"/>
    <col min="31" max="31" width="17.85546875" style="57" customWidth="1" outlineLevel="1"/>
    <col min="32" max="32" width="14.42578125" style="57" customWidth="1" outlineLevel="1"/>
    <col min="33" max="33" width="13.42578125" style="57" customWidth="1"/>
    <col min="34" max="34" width="11.42578125" style="57"/>
    <col min="35" max="16384" width="11.42578125" style="11"/>
  </cols>
  <sheetData>
    <row r="1" spans="1:34" s="1" customFormat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7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</row>
    <row r="2" spans="1:34" ht="14.25">
      <c r="A2" s="11" t="s">
        <v>34</v>
      </c>
      <c r="B2" s="12" t="str">
        <f t="shared" ref="B2:B60" si="0">CONCATENATE(C2,D2)</f>
        <v>SS27P0</v>
      </c>
      <c r="C2" s="13" t="s">
        <v>35</v>
      </c>
      <c r="D2" s="13" t="s">
        <v>36</v>
      </c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41</v>
      </c>
      <c r="J2" s="15" t="s">
        <v>42</v>
      </c>
      <c r="K2" s="15"/>
      <c r="L2" s="16" t="s">
        <v>43</v>
      </c>
      <c r="M2" s="17" t="s">
        <v>44</v>
      </c>
      <c r="N2" s="14" t="s">
        <v>45</v>
      </c>
      <c r="O2" s="15">
        <v>46283</v>
      </c>
      <c r="P2" s="15">
        <v>46283</v>
      </c>
      <c r="Q2" s="15">
        <v>46157</v>
      </c>
      <c r="R2" s="15"/>
      <c r="S2" s="18">
        <v>10000</v>
      </c>
      <c r="T2" s="19">
        <v>10000</v>
      </c>
      <c r="U2" s="20">
        <v>4.4000000000000004</v>
      </c>
      <c r="V2" s="20">
        <v>4.4000000000000004</v>
      </c>
      <c r="W2" s="20">
        <v>4.5</v>
      </c>
      <c r="X2" s="18"/>
      <c r="Y2" s="21" t="s">
        <v>46</v>
      </c>
      <c r="Z2" s="22" t="s">
        <v>46</v>
      </c>
      <c r="AA2" s="22"/>
      <c r="AB2" s="23"/>
      <c r="AC2" s="23"/>
      <c r="AD2" s="24" t="s">
        <v>47</v>
      </c>
      <c r="AE2" s="21">
        <v>46140</v>
      </c>
      <c r="AF2" s="21">
        <v>46153</v>
      </c>
      <c r="AG2" s="23"/>
      <c r="AH2" s="23"/>
    </row>
    <row r="3" spans="1:34" ht="14.25">
      <c r="A3" s="11" t="s">
        <v>34</v>
      </c>
      <c r="B3" s="25" t="str">
        <f t="shared" si="0"/>
        <v>SS27P0</v>
      </c>
      <c r="C3" s="26" t="s">
        <v>35</v>
      </c>
      <c r="D3" s="26" t="s">
        <v>36</v>
      </c>
      <c r="E3" s="27" t="s">
        <v>48</v>
      </c>
      <c r="F3" s="27" t="s">
        <v>49</v>
      </c>
      <c r="G3" s="27" t="s">
        <v>50</v>
      </c>
      <c r="H3" s="27" t="s">
        <v>51</v>
      </c>
      <c r="I3" s="27" t="s">
        <v>52</v>
      </c>
      <c r="J3" s="28" t="s">
        <v>53</v>
      </c>
      <c r="K3" s="28" t="s">
        <v>54</v>
      </c>
      <c r="L3" s="29" t="s">
        <v>43</v>
      </c>
      <c r="M3" s="30" t="s">
        <v>55</v>
      </c>
      <c r="N3" s="27" t="s">
        <v>56</v>
      </c>
      <c r="O3" s="28">
        <v>46290</v>
      </c>
      <c r="P3" s="28">
        <v>46290</v>
      </c>
      <c r="Q3" s="28">
        <v>46155</v>
      </c>
      <c r="R3" s="28"/>
      <c r="S3" s="31">
        <v>4000</v>
      </c>
      <c r="T3" s="32">
        <v>4000</v>
      </c>
      <c r="U3" s="33">
        <v>8.15</v>
      </c>
      <c r="V3" s="33">
        <v>5.8</v>
      </c>
      <c r="W3" s="33">
        <v>6.25</v>
      </c>
      <c r="X3" s="31"/>
      <c r="Y3" s="21">
        <v>46101</v>
      </c>
      <c r="Z3" s="22">
        <v>46126</v>
      </c>
      <c r="AA3" s="22">
        <v>46127</v>
      </c>
      <c r="AB3" s="23"/>
      <c r="AC3" s="23">
        <v>46108</v>
      </c>
      <c r="AD3" s="24" t="s">
        <v>57</v>
      </c>
      <c r="AE3" s="21">
        <v>46087</v>
      </c>
      <c r="AF3" s="21">
        <v>46097</v>
      </c>
      <c r="AG3" s="23"/>
      <c r="AH3" s="23"/>
    </row>
    <row r="4" spans="1:34" ht="14.25">
      <c r="A4" s="11" t="s">
        <v>34</v>
      </c>
      <c r="B4" s="12" t="str">
        <f t="shared" si="0"/>
        <v>SS27P0</v>
      </c>
      <c r="C4" s="13" t="s">
        <v>35</v>
      </c>
      <c r="D4" s="13" t="s">
        <v>36</v>
      </c>
      <c r="E4" s="14" t="s">
        <v>48</v>
      </c>
      <c r="F4" s="14" t="s">
        <v>58</v>
      </c>
      <c r="G4" s="14" t="s">
        <v>59</v>
      </c>
      <c r="H4" s="14" t="s">
        <v>40</v>
      </c>
      <c r="I4" s="14" t="s">
        <v>41</v>
      </c>
      <c r="J4" s="15" t="s">
        <v>42</v>
      </c>
      <c r="K4" s="15"/>
      <c r="L4" s="16"/>
      <c r="M4" s="17" t="s">
        <v>44</v>
      </c>
      <c r="N4" s="14" t="s">
        <v>60</v>
      </c>
      <c r="O4" s="15">
        <v>46290</v>
      </c>
      <c r="P4" s="15">
        <v>46290</v>
      </c>
      <c r="Q4" s="15">
        <v>46149</v>
      </c>
      <c r="R4" s="15"/>
      <c r="S4" s="18">
        <v>3500</v>
      </c>
      <c r="T4" s="19">
        <v>3500</v>
      </c>
      <c r="U4" s="20">
        <v>8.25</v>
      </c>
      <c r="V4" s="20">
        <v>5.4</v>
      </c>
      <c r="W4" s="20">
        <v>6.25</v>
      </c>
      <c r="X4" s="18"/>
      <c r="Y4" s="21">
        <v>46127</v>
      </c>
      <c r="Z4" s="22">
        <v>46154</v>
      </c>
      <c r="AA4" s="22">
        <v>46155</v>
      </c>
      <c r="AB4" s="23"/>
      <c r="AC4" s="23"/>
      <c r="AD4" s="24" t="s">
        <v>61</v>
      </c>
      <c r="AE4" s="21">
        <v>46087</v>
      </c>
      <c r="AF4" s="21">
        <v>46120</v>
      </c>
      <c r="AG4" s="23"/>
      <c r="AH4" s="23"/>
    </row>
    <row r="5" spans="1:34" ht="14.25">
      <c r="A5" s="11" t="s">
        <v>34</v>
      </c>
      <c r="B5" s="25" t="str">
        <f t="shared" si="0"/>
        <v>SS27P0</v>
      </c>
      <c r="C5" s="26" t="s">
        <v>35</v>
      </c>
      <c r="D5" s="26" t="s">
        <v>36</v>
      </c>
      <c r="E5" s="27" t="s">
        <v>62</v>
      </c>
      <c r="F5" s="27" t="s">
        <v>63</v>
      </c>
      <c r="G5" s="27" t="s">
        <v>64</v>
      </c>
      <c r="H5" s="27" t="s">
        <v>51</v>
      </c>
      <c r="I5" s="27" t="s">
        <v>52</v>
      </c>
      <c r="J5" s="28" t="s">
        <v>65</v>
      </c>
      <c r="K5" s="28" t="s">
        <v>54</v>
      </c>
      <c r="L5" s="29" t="s">
        <v>43</v>
      </c>
      <c r="M5" s="30" t="s">
        <v>44</v>
      </c>
      <c r="N5" s="27" t="s">
        <v>66</v>
      </c>
      <c r="O5" s="28">
        <v>46290</v>
      </c>
      <c r="P5" s="28">
        <v>46290</v>
      </c>
      <c r="Q5" s="28">
        <v>46160</v>
      </c>
      <c r="R5" s="28">
        <v>46164</v>
      </c>
      <c r="S5" s="31">
        <v>5200</v>
      </c>
      <c r="T5" s="32">
        <v>5198</v>
      </c>
      <c r="U5" s="33">
        <v>6.9</v>
      </c>
      <c r="V5" s="33">
        <v>4.9000000000000004</v>
      </c>
      <c r="W5" s="33">
        <v>5.45</v>
      </c>
      <c r="X5" s="31">
        <f>+W5*T5</f>
        <v>28329.100000000002</v>
      </c>
      <c r="Y5" s="21">
        <v>46108</v>
      </c>
      <c r="Z5" s="22">
        <v>46135</v>
      </c>
      <c r="AA5" s="22">
        <v>46136</v>
      </c>
      <c r="AB5" s="23"/>
      <c r="AC5" s="23"/>
      <c r="AD5" s="24" t="s">
        <v>67</v>
      </c>
      <c r="AE5" s="21">
        <v>46087</v>
      </c>
      <c r="AF5" s="21">
        <v>46120</v>
      </c>
      <c r="AG5" s="23"/>
      <c r="AH5" s="23"/>
    </row>
    <row r="6" spans="1:34" ht="14.25">
      <c r="A6" s="11" t="s">
        <v>34</v>
      </c>
      <c r="B6" s="25" t="str">
        <f t="shared" si="0"/>
        <v>SS27P0</v>
      </c>
      <c r="C6" s="26" t="s">
        <v>35</v>
      </c>
      <c r="D6" s="26" t="s">
        <v>36</v>
      </c>
      <c r="E6" s="27" t="s">
        <v>62</v>
      </c>
      <c r="F6" s="27" t="s">
        <v>68</v>
      </c>
      <c r="G6" s="27" t="s">
        <v>69</v>
      </c>
      <c r="H6" s="27" t="s">
        <v>51</v>
      </c>
      <c r="I6" s="27" t="s">
        <v>52</v>
      </c>
      <c r="J6" s="28" t="s">
        <v>53</v>
      </c>
      <c r="K6" s="28" t="s">
        <v>54</v>
      </c>
      <c r="L6" s="29" t="s">
        <v>43</v>
      </c>
      <c r="M6" s="30" t="s">
        <v>55</v>
      </c>
      <c r="N6" s="27" t="s">
        <v>70</v>
      </c>
      <c r="O6" s="28">
        <v>46290</v>
      </c>
      <c r="P6" s="28">
        <v>46290</v>
      </c>
      <c r="Q6" s="28">
        <v>46155</v>
      </c>
      <c r="R6" s="28"/>
      <c r="S6" s="31">
        <v>5000</v>
      </c>
      <c r="T6" s="32">
        <v>5000</v>
      </c>
      <c r="U6" s="33">
        <v>7.05</v>
      </c>
      <c r="V6" s="33">
        <v>4.8</v>
      </c>
      <c r="W6" s="33" t="s">
        <v>71</v>
      </c>
      <c r="X6" s="31"/>
      <c r="Y6" s="21">
        <v>46099</v>
      </c>
      <c r="Z6" s="22">
        <v>46126</v>
      </c>
      <c r="AA6" s="22">
        <v>46127</v>
      </c>
      <c r="AB6" s="23"/>
      <c r="AC6" s="23">
        <v>46115</v>
      </c>
      <c r="AD6" s="24" t="s">
        <v>57</v>
      </c>
      <c r="AE6" s="21">
        <v>46087</v>
      </c>
      <c r="AF6" s="21">
        <v>46097</v>
      </c>
      <c r="AG6" s="23"/>
      <c r="AH6" s="23"/>
    </row>
    <row r="7" spans="1:34" ht="14.25">
      <c r="A7" s="11" t="s">
        <v>34</v>
      </c>
      <c r="B7" s="25" t="str">
        <f t="shared" si="0"/>
        <v>SS27P0</v>
      </c>
      <c r="C7" s="26" t="s">
        <v>35</v>
      </c>
      <c r="D7" s="26" t="s">
        <v>36</v>
      </c>
      <c r="E7" s="27" t="s">
        <v>72</v>
      </c>
      <c r="F7" s="27" t="s">
        <v>73</v>
      </c>
      <c r="G7" s="27" t="s">
        <v>74</v>
      </c>
      <c r="H7" s="27" t="s">
        <v>40</v>
      </c>
      <c r="I7" s="27" t="s">
        <v>41</v>
      </c>
      <c r="J7" s="28" t="s">
        <v>65</v>
      </c>
      <c r="K7" s="28"/>
      <c r="L7" s="29" t="s">
        <v>43</v>
      </c>
      <c r="M7" s="30" t="s">
        <v>44</v>
      </c>
      <c r="N7" s="27" t="s">
        <v>66</v>
      </c>
      <c r="O7" s="28">
        <v>46297</v>
      </c>
      <c r="P7" s="28">
        <v>46298</v>
      </c>
      <c r="Q7" s="28">
        <v>46149</v>
      </c>
      <c r="R7" s="28"/>
      <c r="S7" s="31">
        <v>8000</v>
      </c>
      <c r="T7" s="32">
        <v>8000</v>
      </c>
      <c r="U7" s="33">
        <v>10.6</v>
      </c>
      <c r="V7" s="33">
        <v>6.6</v>
      </c>
      <c r="W7" s="33" t="s">
        <v>75</v>
      </c>
      <c r="X7" s="31"/>
      <c r="Y7" s="21">
        <v>46066</v>
      </c>
      <c r="Z7" s="22">
        <v>46136</v>
      </c>
      <c r="AA7" s="22">
        <v>46136</v>
      </c>
      <c r="AB7" s="23"/>
      <c r="AC7" s="23"/>
      <c r="AD7" s="24" t="s">
        <v>76</v>
      </c>
      <c r="AE7" s="21">
        <v>46059</v>
      </c>
      <c r="AF7" s="21">
        <v>46120</v>
      </c>
      <c r="AG7" s="23"/>
      <c r="AH7" s="23"/>
    </row>
    <row r="8" spans="1:34" ht="14.25">
      <c r="A8" s="11" t="s">
        <v>34</v>
      </c>
      <c r="B8" s="25" t="str">
        <f t="shared" si="0"/>
        <v>SS27P0</v>
      </c>
      <c r="C8" s="26" t="s">
        <v>35</v>
      </c>
      <c r="D8" s="26" t="s">
        <v>36</v>
      </c>
      <c r="E8" s="27" t="s">
        <v>72</v>
      </c>
      <c r="F8" s="27" t="s">
        <v>77</v>
      </c>
      <c r="G8" s="27" t="s">
        <v>78</v>
      </c>
      <c r="H8" s="27" t="s">
        <v>40</v>
      </c>
      <c r="I8" s="27" t="s">
        <v>41</v>
      </c>
      <c r="J8" s="28" t="s">
        <v>53</v>
      </c>
      <c r="K8" s="28" t="s">
        <v>54</v>
      </c>
      <c r="L8" s="29" t="s">
        <v>43</v>
      </c>
      <c r="M8" s="30" t="s">
        <v>55</v>
      </c>
      <c r="N8" s="27" t="s">
        <v>79</v>
      </c>
      <c r="O8" s="28">
        <v>46297</v>
      </c>
      <c r="P8" s="28">
        <v>46297</v>
      </c>
      <c r="Q8" s="28">
        <v>46160</v>
      </c>
      <c r="R8" s="28"/>
      <c r="S8" s="31">
        <v>4000</v>
      </c>
      <c r="T8" s="32">
        <v>4000</v>
      </c>
      <c r="U8" s="33">
        <v>10.9</v>
      </c>
      <c r="V8" s="33">
        <v>6.5</v>
      </c>
      <c r="W8" s="33">
        <v>8.65</v>
      </c>
      <c r="X8" s="31"/>
      <c r="Y8" s="21">
        <v>46064</v>
      </c>
      <c r="Z8" s="22">
        <v>46126</v>
      </c>
      <c r="AA8" s="22">
        <v>46127</v>
      </c>
      <c r="AB8" s="23"/>
      <c r="AC8" s="23">
        <v>46108</v>
      </c>
      <c r="AD8" s="24" t="s">
        <v>80</v>
      </c>
      <c r="AE8" s="21">
        <v>46059</v>
      </c>
      <c r="AF8" s="21">
        <v>46097</v>
      </c>
      <c r="AG8" s="23"/>
      <c r="AH8" s="23"/>
    </row>
    <row r="9" spans="1:34" ht="14.25">
      <c r="A9" s="11" t="s">
        <v>34</v>
      </c>
      <c r="B9" s="34" t="str">
        <f>CONCATENATE(C9,D9)</f>
        <v>SS27P0</v>
      </c>
      <c r="C9" s="35" t="s">
        <v>35</v>
      </c>
      <c r="D9" s="35" t="s">
        <v>36</v>
      </c>
      <c r="E9" s="36" t="s">
        <v>37</v>
      </c>
      <c r="F9" s="36" t="s">
        <v>81</v>
      </c>
      <c r="G9" s="36" t="s">
        <v>82</v>
      </c>
      <c r="H9" s="36" t="s">
        <v>40</v>
      </c>
      <c r="I9" s="36" t="s">
        <v>41</v>
      </c>
      <c r="J9" s="37" t="s">
        <v>83</v>
      </c>
      <c r="K9" s="37" t="s">
        <v>54</v>
      </c>
      <c r="L9" s="38" t="s">
        <v>43</v>
      </c>
      <c r="M9" s="39" t="s">
        <v>55</v>
      </c>
      <c r="N9" s="36" t="s">
        <v>84</v>
      </c>
      <c r="O9" s="37">
        <v>46339</v>
      </c>
      <c r="P9" s="37">
        <v>46339</v>
      </c>
      <c r="Q9" s="37">
        <v>46205</v>
      </c>
      <c r="R9" s="37"/>
      <c r="S9" s="40">
        <v>6500</v>
      </c>
      <c r="T9" s="41"/>
      <c r="U9" s="42">
        <v>6.95</v>
      </c>
      <c r="V9" s="42"/>
      <c r="W9" s="42"/>
      <c r="X9" s="40"/>
      <c r="Y9" s="21">
        <v>46080</v>
      </c>
      <c r="Z9" s="22">
        <v>46114</v>
      </c>
      <c r="AA9" s="22">
        <v>46113</v>
      </c>
      <c r="AB9" s="23"/>
      <c r="AC9" s="23">
        <v>46112</v>
      </c>
      <c r="AD9" s="24" t="s">
        <v>85</v>
      </c>
      <c r="AE9" s="21">
        <v>46087</v>
      </c>
      <c r="AF9" s="21">
        <v>46097</v>
      </c>
      <c r="AG9" s="23"/>
      <c r="AH9" s="23"/>
    </row>
    <row r="10" spans="1:34" ht="14.25">
      <c r="A10" s="11" t="s">
        <v>34</v>
      </c>
      <c r="B10" s="34" t="str">
        <f t="shared" si="0"/>
        <v>SS27P0</v>
      </c>
      <c r="C10" s="35" t="s">
        <v>35</v>
      </c>
      <c r="D10" s="35" t="s">
        <v>36</v>
      </c>
      <c r="E10" s="36" t="s">
        <v>37</v>
      </c>
      <c r="F10" s="36" t="s">
        <v>86</v>
      </c>
      <c r="G10" s="36" t="s">
        <v>87</v>
      </c>
      <c r="H10" s="36" t="s">
        <v>40</v>
      </c>
      <c r="I10" s="36" t="s">
        <v>41</v>
      </c>
      <c r="J10" s="37" t="s">
        <v>83</v>
      </c>
      <c r="K10" s="37" t="s">
        <v>54</v>
      </c>
      <c r="L10" s="38" t="s">
        <v>43</v>
      </c>
      <c r="M10" s="39" t="s">
        <v>55</v>
      </c>
      <c r="N10" s="36" t="s">
        <v>88</v>
      </c>
      <c r="O10" s="37">
        <v>46339</v>
      </c>
      <c r="P10" s="37">
        <v>46339</v>
      </c>
      <c r="Q10" s="37">
        <v>46205</v>
      </c>
      <c r="R10" s="37"/>
      <c r="S10" s="40">
        <f>9000+10000</f>
        <v>19000</v>
      </c>
      <c r="T10" s="41"/>
      <c r="U10" s="42">
        <v>10.65</v>
      </c>
      <c r="V10" s="42"/>
      <c r="W10" s="42"/>
      <c r="X10" s="40"/>
      <c r="Y10" s="21">
        <v>46067</v>
      </c>
      <c r="Z10" s="22">
        <v>46115</v>
      </c>
      <c r="AA10" s="22">
        <v>46113</v>
      </c>
      <c r="AB10" s="23"/>
      <c r="AC10" s="23"/>
      <c r="AD10" s="24" t="s">
        <v>89</v>
      </c>
      <c r="AE10" s="21">
        <v>46087</v>
      </c>
      <c r="AF10" s="21">
        <v>46097</v>
      </c>
      <c r="AG10" s="23"/>
      <c r="AH10" s="23"/>
    </row>
    <row r="11" spans="1:34" ht="14.25">
      <c r="A11" s="11" t="s">
        <v>34</v>
      </c>
      <c r="B11" s="34" t="str">
        <f t="shared" si="0"/>
        <v>SS27P0</v>
      </c>
      <c r="C11" s="35" t="s">
        <v>35</v>
      </c>
      <c r="D11" s="35" t="s">
        <v>36</v>
      </c>
      <c r="E11" s="36" t="s">
        <v>37</v>
      </c>
      <c r="F11" s="36" t="s">
        <v>90</v>
      </c>
      <c r="G11" s="36" t="s">
        <v>91</v>
      </c>
      <c r="H11" s="36" t="s">
        <v>40</v>
      </c>
      <c r="I11" s="36" t="s">
        <v>41</v>
      </c>
      <c r="J11" s="37" t="s">
        <v>83</v>
      </c>
      <c r="K11" s="37" t="s">
        <v>54</v>
      </c>
      <c r="L11" s="38" t="s">
        <v>43</v>
      </c>
      <c r="M11" s="39" t="s">
        <v>55</v>
      </c>
      <c r="N11" s="36" t="s">
        <v>70</v>
      </c>
      <c r="O11" s="37">
        <v>46346</v>
      </c>
      <c r="P11" s="37">
        <v>46346</v>
      </c>
      <c r="Q11" s="37">
        <v>46212</v>
      </c>
      <c r="R11" s="37"/>
      <c r="S11" s="40">
        <f>10000+7500</f>
        <v>17500</v>
      </c>
      <c r="T11" s="41"/>
      <c r="U11" s="42">
        <v>8.4</v>
      </c>
      <c r="V11" s="42"/>
      <c r="W11" s="42"/>
      <c r="X11" s="40"/>
      <c r="Y11" s="21">
        <v>46098</v>
      </c>
      <c r="Z11" s="22">
        <v>46114</v>
      </c>
      <c r="AA11" s="22">
        <v>46113</v>
      </c>
      <c r="AB11" s="23"/>
      <c r="AC11" s="21">
        <v>46121</v>
      </c>
      <c r="AD11" s="24" t="s">
        <v>92</v>
      </c>
      <c r="AE11" s="21">
        <v>46087</v>
      </c>
      <c r="AF11" s="21">
        <v>46097</v>
      </c>
      <c r="AG11" s="23"/>
      <c r="AH11" s="23"/>
    </row>
    <row r="12" spans="1:34" ht="14.25">
      <c r="A12" s="11" t="s">
        <v>34</v>
      </c>
      <c r="B12" s="34" t="str">
        <f>CONCATENATE(C12,D12)</f>
        <v>SS27P0</v>
      </c>
      <c r="C12" s="35" t="s">
        <v>35</v>
      </c>
      <c r="D12" s="35" t="s">
        <v>36</v>
      </c>
      <c r="E12" s="36" t="s">
        <v>37</v>
      </c>
      <c r="F12" s="36" t="s">
        <v>93</v>
      </c>
      <c r="G12" s="36" t="s">
        <v>94</v>
      </c>
      <c r="H12" s="36" t="s">
        <v>40</v>
      </c>
      <c r="I12" s="36" t="s">
        <v>41</v>
      </c>
      <c r="J12" s="37" t="s">
        <v>83</v>
      </c>
      <c r="K12" s="37" t="s">
        <v>54</v>
      </c>
      <c r="L12" s="38" t="s">
        <v>43</v>
      </c>
      <c r="M12" s="39" t="s">
        <v>55</v>
      </c>
      <c r="N12" s="36" t="s">
        <v>95</v>
      </c>
      <c r="O12" s="37">
        <v>46304</v>
      </c>
      <c r="P12" s="37">
        <v>46304</v>
      </c>
      <c r="Q12" s="37">
        <v>46170</v>
      </c>
      <c r="R12" s="37"/>
      <c r="S12" s="40">
        <f>13000+9000</f>
        <v>22000</v>
      </c>
      <c r="T12" s="41"/>
      <c r="U12" s="42">
        <v>10.35</v>
      </c>
      <c r="V12" s="42"/>
      <c r="W12" s="42"/>
      <c r="X12" s="40"/>
      <c r="Y12" s="21">
        <v>46098</v>
      </c>
      <c r="Z12" s="22">
        <v>46126</v>
      </c>
      <c r="AA12" s="22">
        <v>46127</v>
      </c>
      <c r="AB12" s="23"/>
      <c r="AC12" s="23">
        <v>46121</v>
      </c>
      <c r="AD12" s="24" t="s">
        <v>57</v>
      </c>
      <c r="AE12" s="21">
        <v>46087</v>
      </c>
      <c r="AF12" s="21">
        <v>46105</v>
      </c>
      <c r="AG12" s="23"/>
      <c r="AH12" s="23"/>
    </row>
    <row r="13" spans="1:34" ht="14.25">
      <c r="A13" s="11" t="s">
        <v>34</v>
      </c>
      <c r="B13" s="25" t="str">
        <f>CONCATENATE(C13,D13)</f>
        <v>SS27P0</v>
      </c>
      <c r="C13" s="26" t="s">
        <v>35</v>
      </c>
      <c r="D13" s="26" t="s">
        <v>36</v>
      </c>
      <c r="E13" s="27" t="s">
        <v>96</v>
      </c>
      <c r="F13" s="27" t="s">
        <v>97</v>
      </c>
      <c r="G13" s="27" t="s">
        <v>98</v>
      </c>
      <c r="H13" s="27" t="s">
        <v>51</v>
      </c>
      <c r="I13" s="27" t="s">
        <v>52</v>
      </c>
      <c r="J13" s="28" t="s">
        <v>53</v>
      </c>
      <c r="K13" s="28" t="s">
        <v>54</v>
      </c>
      <c r="L13" s="29" t="s">
        <v>43</v>
      </c>
      <c r="M13" s="30" t="s">
        <v>55</v>
      </c>
      <c r="N13" s="27" t="s">
        <v>99</v>
      </c>
      <c r="O13" s="28">
        <v>46311</v>
      </c>
      <c r="P13" s="28">
        <v>46311</v>
      </c>
      <c r="Q13" s="28">
        <v>46177</v>
      </c>
      <c r="R13" s="28"/>
      <c r="S13" s="31">
        <f>7500+6000</f>
        <v>13500</v>
      </c>
      <c r="T13" s="31">
        <f>7500+6000</f>
        <v>13500</v>
      </c>
      <c r="U13" s="33">
        <v>5.6</v>
      </c>
      <c r="V13" s="33">
        <v>3.5</v>
      </c>
      <c r="W13" s="33">
        <v>4.4000000000000004</v>
      </c>
      <c r="X13" s="31"/>
      <c r="Y13" s="21">
        <v>46083</v>
      </c>
      <c r="Z13" s="22">
        <v>46154</v>
      </c>
      <c r="AA13" s="22">
        <v>46155</v>
      </c>
      <c r="AB13" s="23"/>
      <c r="AC13" s="23"/>
      <c r="AD13" s="24" t="s">
        <v>100</v>
      </c>
      <c r="AE13" s="21">
        <v>46114</v>
      </c>
      <c r="AF13" s="21">
        <v>46126</v>
      </c>
      <c r="AG13" s="23"/>
      <c r="AH13" s="23"/>
    </row>
    <row r="14" spans="1:34" ht="14.25">
      <c r="A14" s="11" t="s">
        <v>34</v>
      </c>
      <c r="B14" s="25" t="str">
        <f t="shared" si="0"/>
        <v>SS27P0</v>
      </c>
      <c r="C14" s="26" t="s">
        <v>35</v>
      </c>
      <c r="D14" s="26" t="s">
        <v>36</v>
      </c>
      <c r="E14" s="27" t="s">
        <v>101</v>
      </c>
      <c r="F14" s="27" t="s">
        <v>102</v>
      </c>
      <c r="G14" s="27" t="s">
        <v>103</v>
      </c>
      <c r="H14" s="27" t="s">
        <v>51</v>
      </c>
      <c r="I14" s="27" t="s">
        <v>52</v>
      </c>
      <c r="J14" s="28" t="s">
        <v>53</v>
      </c>
      <c r="K14" s="28" t="s">
        <v>54</v>
      </c>
      <c r="L14" s="29" t="s">
        <v>43</v>
      </c>
      <c r="M14" s="30" t="s">
        <v>55</v>
      </c>
      <c r="N14" s="27" t="s">
        <v>104</v>
      </c>
      <c r="O14" s="28">
        <v>46318</v>
      </c>
      <c r="P14" s="28">
        <v>46318</v>
      </c>
      <c r="Q14" s="28">
        <v>46177</v>
      </c>
      <c r="R14" s="28"/>
      <c r="S14" s="31">
        <v>5900</v>
      </c>
      <c r="T14" s="31">
        <v>5900</v>
      </c>
      <c r="U14" s="33">
        <v>5.2</v>
      </c>
      <c r="V14" s="33">
        <v>3.1</v>
      </c>
      <c r="W14" s="33">
        <v>4.0999999999999996</v>
      </c>
      <c r="X14" s="31"/>
      <c r="Y14" s="21">
        <v>46101</v>
      </c>
      <c r="Z14" s="22">
        <v>46126</v>
      </c>
      <c r="AA14" s="22">
        <v>46127</v>
      </c>
      <c r="AB14" s="23"/>
      <c r="AC14" s="23">
        <v>46121</v>
      </c>
      <c r="AD14" s="24" t="s">
        <v>57</v>
      </c>
      <c r="AE14" s="21">
        <v>46091</v>
      </c>
      <c r="AF14" s="21">
        <v>46097</v>
      </c>
      <c r="AG14" s="23"/>
      <c r="AH14" s="23"/>
    </row>
    <row r="15" spans="1:34" ht="14.25">
      <c r="A15" s="11" t="s">
        <v>34</v>
      </c>
      <c r="B15" s="25" t="str">
        <f t="shared" si="0"/>
        <v>SS27P0</v>
      </c>
      <c r="C15" s="26" t="s">
        <v>35</v>
      </c>
      <c r="D15" s="26" t="s">
        <v>36</v>
      </c>
      <c r="E15" s="27" t="s">
        <v>105</v>
      </c>
      <c r="F15" s="27" t="s">
        <v>106</v>
      </c>
      <c r="G15" s="27" t="s">
        <v>107</v>
      </c>
      <c r="H15" s="27" t="s">
        <v>108</v>
      </c>
      <c r="I15" s="27" t="s">
        <v>109</v>
      </c>
      <c r="J15" s="28" t="s">
        <v>53</v>
      </c>
      <c r="K15" s="28" t="s">
        <v>54</v>
      </c>
      <c r="L15" s="29" t="s">
        <v>43</v>
      </c>
      <c r="M15" s="30" t="s">
        <v>110</v>
      </c>
      <c r="N15" s="27" t="s">
        <v>111</v>
      </c>
      <c r="O15" s="28">
        <v>46318</v>
      </c>
      <c r="P15" s="28">
        <v>46318</v>
      </c>
      <c r="Q15" s="28">
        <v>46177</v>
      </c>
      <c r="R15" s="28"/>
      <c r="S15" s="31">
        <v>4500</v>
      </c>
      <c r="T15" s="31">
        <v>4500</v>
      </c>
      <c r="U15" s="33">
        <v>12</v>
      </c>
      <c r="V15" s="33">
        <v>8.3000000000000007</v>
      </c>
      <c r="W15" s="33">
        <v>9.5500000000000007</v>
      </c>
      <c r="X15" s="31"/>
      <c r="Y15" s="21">
        <v>46121</v>
      </c>
      <c r="Z15" s="22">
        <v>46142</v>
      </c>
      <c r="AA15" s="22">
        <v>46142</v>
      </c>
      <c r="AB15" s="23"/>
      <c r="AC15" s="23">
        <v>46115</v>
      </c>
      <c r="AD15" s="24" t="s">
        <v>76</v>
      </c>
      <c r="AE15" s="21">
        <v>46087</v>
      </c>
      <c r="AF15" s="21">
        <v>46108</v>
      </c>
      <c r="AG15" s="23"/>
      <c r="AH15" s="23"/>
    </row>
    <row r="16" spans="1:34" ht="14.25">
      <c r="A16" s="11" t="s">
        <v>34</v>
      </c>
      <c r="B16" s="25" t="str">
        <f t="shared" si="0"/>
        <v>SS27P0</v>
      </c>
      <c r="C16" s="26" t="s">
        <v>35</v>
      </c>
      <c r="D16" s="26" t="s">
        <v>36</v>
      </c>
      <c r="E16" s="27" t="s">
        <v>105</v>
      </c>
      <c r="F16" s="27" t="s">
        <v>112</v>
      </c>
      <c r="G16" s="27" t="s">
        <v>113</v>
      </c>
      <c r="H16" s="27" t="s">
        <v>108</v>
      </c>
      <c r="I16" s="27" t="s">
        <v>109</v>
      </c>
      <c r="J16" s="28" t="s">
        <v>53</v>
      </c>
      <c r="K16" s="28" t="s">
        <v>54</v>
      </c>
      <c r="L16" s="29" t="s">
        <v>43</v>
      </c>
      <c r="M16" s="30" t="s">
        <v>110</v>
      </c>
      <c r="N16" s="27" t="s">
        <v>114</v>
      </c>
      <c r="O16" s="28">
        <v>46318</v>
      </c>
      <c r="P16" s="28">
        <v>46318</v>
      </c>
      <c r="Q16" s="28">
        <v>46171</v>
      </c>
      <c r="R16" s="28"/>
      <c r="S16" s="31">
        <v>5000</v>
      </c>
      <c r="T16" s="32">
        <v>5000</v>
      </c>
      <c r="U16" s="33">
        <v>10.9</v>
      </c>
      <c r="V16" s="33">
        <v>8.4</v>
      </c>
      <c r="W16" s="33">
        <v>9.65</v>
      </c>
      <c r="X16" s="31"/>
      <c r="Y16" s="21">
        <v>46098</v>
      </c>
      <c r="Z16" s="22">
        <v>46147</v>
      </c>
      <c r="AA16" s="22">
        <v>46148</v>
      </c>
      <c r="AB16" s="23"/>
      <c r="AC16" s="23"/>
      <c r="AD16" s="24" t="s">
        <v>115</v>
      </c>
      <c r="AE16" s="21">
        <v>46087</v>
      </c>
      <c r="AF16" s="21">
        <v>46108</v>
      </c>
      <c r="AG16" s="23"/>
      <c r="AH16" s="23"/>
    </row>
    <row r="17" spans="1:34" ht="14.25">
      <c r="A17" s="11" t="s">
        <v>34</v>
      </c>
      <c r="B17" s="34" t="str">
        <f t="shared" si="0"/>
        <v>SS27P0</v>
      </c>
      <c r="C17" s="35" t="s">
        <v>35</v>
      </c>
      <c r="D17" s="35" t="s">
        <v>36</v>
      </c>
      <c r="E17" s="36" t="s">
        <v>116</v>
      </c>
      <c r="F17" s="36" t="s">
        <v>117</v>
      </c>
      <c r="G17" s="36" t="s">
        <v>118</v>
      </c>
      <c r="H17" s="36" t="s">
        <v>51</v>
      </c>
      <c r="I17" s="36" t="s">
        <v>52</v>
      </c>
      <c r="J17" s="37" t="s">
        <v>83</v>
      </c>
      <c r="K17" s="37"/>
      <c r="L17" s="38"/>
      <c r="M17" s="39" t="s">
        <v>119</v>
      </c>
      <c r="N17" s="36" t="s">
        <v>120</v>
      </c>
      <c r="O17" s="37">
        <v>46325</v>
      </c>
      <c r="P17" s="37">
        <v>46325</v>
      </c>
      <c r="Q17" s="37">
        <v>46163</v>
      </c>
      <c r="R17" s="37"/>
      <c r="S17" s="40">
        <v>500</v>
      </c>
      <c r="T17" s="41"/>
      <c r="U17" s="42">
        <v>5.75</v>
      </c>
      <c r="V17" s="42"/>
      <c r="W17" s="42"/>
      <c r="X17" s="40"/>
      <c r="Y17" s="21">
        <v>46063</v>
      </c>
      <c r="Z17" s="22">
        <v>46148</v>
      </c>
      <c r="AA17" s="22">
        <v>46148</v>
      </c>
      <c r="AB17" s="23"/>
      <c r="AC17" s="21"/>
      <c r="AD17" s="24" t="s">
        <v>76</v>
      </c>
      <c r="AE17" s="21">
        <v>46059</v>
      </c>
      <c r="AF17" s="21">
        <v>46120</v>
      </c>
      <c r="AG17" s="23"/>
      <c r="AH17" s="23"/>
    </row>
    <row r="18" spans="1:34" ht="14.25">
      <c r="A18" s="11" t="s">
        <v>34</v>
      </c>
      <c r="B18" s="34" t="str">
        <f t="shared" si="0"/>
        <v>SS27P0</v>
      </c>
      <c r="C18" s="35" t="s">
        <v>35</v>
      </c>
      <c r="D18" s="35" t="s">
        <v>36</v>
      </c>
      <c r="E18" s="36" t="s">
        <v>116</v>
      </c>
      <c r="F18" s="36" t="s">
        <v>121</v>
      </c>
      <c r="G18" s="36" t="s">
        <v>122</v>
      </c>
      <c r="H18" s="36" t="s">
        <v>51</v>
      </c>
      <c r="I18" s="36" t="s">
        <v>52</v>
      </c>
      <c r="J18" s="37" t="s">
        <v>83</v>
      </c>
      <c r="K18" s="37"/>
      <c r="L18" s="38"/>
      <c r="M18" s="39" t="s">
        <v>44</v>
      </c>
      <c r="N18" s="36" t="s">
        <v>120</v>
      </c>
      <c r="O18" s="37">
        <v>46325</v>
      </c>
      <c r="P18" s="37">
        <v>46325</v>
      </c>
      <c r="Q18" s="37">
        <v>46163</v>
      </c>
      <c r="R18" s="37"/>
      <c r="S18" s="40">
        <v>3000</v>
      </c>
      <c r="T18" s="41"/>
      <c r="U18" s="42">
        <v>7.05</v>
      </c>
      <c r="V18" s="42"/>
      <c r="W18" s="42"/>
      <c r="X18" s="40"/>
      <c r="Y18" s="21">
        <v>46063</v>
      </c>
      <c r="Z18" s="22">
        <v>46154</v>
      </c>
      <c r="AA18" s="22">
        <v>46155</v>
      </c>
      <c r="AB18" s="23"/>
      <c r="AC18" s="21"/>
      <c r="AD18" s="24" t="s">
        <v>123</v>
      </c>
      <c r="AE18" s="21">
        <v>46059</v>
      </c>
      <c r="AF18" s="21">
        <v>46120</v>
      </c>
      <c r="AG18" s="23"/>
      <c r="AH18" s="23"/>
    </row>
    <row r="19" spans="1:34" ht="14.25">
      <c r="A19" s="11" t="s">
        <v>34</v>
      </c>
      <c r="B19" s="34" t="str">
        <f t="shared" si="0"/>
        <v>SS27P0</v>
      </c>
      <c r="C19" s="35" t="s">
        <v>35</v>
      </c>
      <c r="D19" s="35" t="s">
        <v>36</v>
      </c>
      <c r="E19" s="36" t="s">
        <v>116</v>
      </c>
      <c r="F19" s="36" t="s">
        <v>124</v>
      </c>
      <c r="G19" s="36" t="s">
        <v>125</v>
      </c>
      <c r="H19" s="36" t="s">
        <v>51</v>
      </c>
      <c r="I19" s="36" t="s">
        <v>52</v>
      </c>
      <c r="J19" s="37" t="s">
        <v>83</v>
      </c>
      <c r="K19" s="37" t="s">
        <v>54</v>
      </c>
      <c r="L19" s="38" t="s">
        <v>43</v>
      </c>
      <c r="M19" s="39" t="s">
        <v>55</v>
      </c>
      <c r="N19" s="36" t="s">
        <v>126</v>
      </c>
      <c r="O19" s="37">
        <v>46325</v>
      </c>
      <c r="P19" s="37">
        <v>46325</v>
      </c>
      <c r="Q19" s="37">
        <v>46163</v>
      </c>
      <c r="R19" s="37"/>
      <c r="S19" s="40">
        <f>2600+6500</f>
        <v>9100</v>
      </c>
      <c r="T19" s="41"/>
      <c r="U19" s="42">
        <v>5.55</v>
      </c>
      <c r="V19" s="42"/>
      <c r="W19" s="42"/>
      <c r="X19" s="40"/>
      <c r="Y19" s="21">
        <v>46090</v>
      </c>
      <c r="Z19" s="22">
        <v>46126</v>
      </c>
      <c r="AA19" s="22">
        <v>46127</v>
      </c>
      <c r="AB19" s="23"/>
      <c r="AC19" s="21">
        <v>46108</v>
      </c>
      <c r="AD19" s="24" t="s">
        <v>127</v>
      </c>
      <c r="AE19" s="21">
        <v>46059</v>
      </c>
      <c r="AF19" s="21">
        <v>46097</v>
      </c>
      <c r="AG19" s="23"/>
      <c r="AH19" s="23"/>
    </row>
    <row r="20" spans="1:34" ht="14.25">
      <c r="A20" s="11" t="s">
        <v>34</v>
      </c>
      <c r="B20" s="34" t="str">
        <f t="shared" si="0"/>
        <v>SS27P0</v>
      </c>
      <c r="C20" s="35" t="s">
        <v>35</v>
      </c>
      <c r="D20" s="35" t="s">
        <v>36</v>
      </c>
      <c r="E20" s="36" t="s">
        <v>116</v>
      </c>
      <c r="F20" s="36" t="s">
        <v>128</v>
      </c>
      <c r="G20" s="36" t="s">
        <v>129</v>
      </c>
      <c r="H20" s="36" t="s">
        <v>51</v>
      </c>
      <c r="I20" s="36" t="s">
        <v>52</v>
      </c>
      <c r="J20" s="37" t="s">
        <v>83</v>
      </c>
      <c r="K20" s="37"/>
      <c r="L20" s="38"/>
      <c r="M20" s="39" t="s">
        <v>130</v>
      </c>
      <c r="N20" s="36" t="s">
        <v>120</v>
      </c>
      <c r="O20" s="37">
        <v>46325</v>
      </c>
      <c r="P20" s="37">
        <v>46325</v>
      </c>
      <c r="Q20" s="37">
        <v>46163</v>
      </c>
      <c r="R20" s="37"/>
      <c r="S20" s="40">
        <v>4700</v>
      </c>
      <c r="T20" s="41"/>
      <c r="U20" s="42">
        <v>10.15</v>
      </c>
      <c r="V20" s="42"/>
      <c r="W20" s="42"/>
      <c r="X20" s="40"/>
      <c r="Y20" s="21">
        <v>46090</v>
      </c>
      <c r="Z20" s="22">
        <v>46140</v>
      </c>
      <c r="AA20" s="22">
        <v>46141</v>
      </c>
      <c r="AB20" s="23"/>
      <c r="AC20" s="21"/>
      <c r="AD20" s="24" t="s">
        <v>76</v>
      </c>
      <c r="AE20" s="21">
        <v>46059</v>
      </c>
      <c r="AF20" s="21">
        <v>46108</v>
      </c>
      <c r="AG20" s="23"/>
      <c r="AH20" s="23"/>
    </row>
    <row r="21" spans="1:34" ht="14.25">
      <c r="A21" s="11" t="s">
        <v>34</v>
      </c>
      <c r="B21" s="34" t="str">
        <f t="shared" si="0"/>
        <v>SS27P0</v>
      </c>
      <c r="C21" s="35" t="s">
        <v>35</v>
      </c>
      <c r="D21" s="35" t="s">
        <v>36</v>
      </c>
      <c r="E21" s="36" t="s">
        <v>116</v>
      </c>
      <c r="F21" s="36" t="s">
        <v>131</v>
      </c>
      <c r="G21" s="36" t="s">
        <v>132</v>
      </c>
      <c r="H21" s="36" t="s">
        <v>51</v>
      </c>
      <c r="I21" s="36" t="s">
        <v>52</v>
      </c>
      <c r="J21" s="37" t="s">
        <v>83</v>
      </c>
      <c r="K21" s="37"/>
      <c r="L21" s="38"/>
      <c r="M21" s="39" t="s">
        <v>110</v>
      </c>
      <c r="N21" s="36" t="s">
        <v>133</v>
      </c>
      <c r="O21" s="37">
        <v>46325</v>
      </c>
      <c r="P21" s="37">
        <v>46325</v>
      </c>
      <c r="Q21" s="37">
        <v>46163</v>
      </c>
      <c r="R21" s="37"/>
      <c r="S21" s="40">
        <v>500</v>
      </c>
      <c r="T21" s="41"/>
      <c r="U21" s="42">
        <v>13.55</v>
      </c>
      <c r="V21" s="42"/>
      <c r="W21" s="42"/>
      <c r="X21" s="40"/>
      <c r="Y21" s="21">
        <v>46090</v>
      </c>
      <c r="Z21" s="22">
        <v>46177</v>
      </c>
      <c r="AA21" s="22"/>
      <c r="AB21" s="23"/>
      <c r="AC21" s="21"/>
      <c r="AD21" s="24" t="s">
        <v>134</v>
      </c>
      <c r="AE21" s="21">
        <v>46059</v>
      </c>
      <c r="AF21" s="21">
        <v>46126</v>
      </c>
      <c r="AG21" s="23"/>
      <c r="AH21" s="23"/>
    </row>
    <row r="22" spans="1:34" ht="14.25">
      <c r="A22" s="11" t="s">
        <v>34</v>
      </c>
      <c r="B22" s="34" t="str">
        <f t="shared" si="0"/>
        <v>SS27P0</v>
      </c>
      <c r="C22" s="35" t="s">
        <v>35</v>
      </c>
      <c r="D22" s="35" t="s">
        <v>36</v>
      </c>
      <c r="E22" s="36" t="s">
        <v>116</v>
      </c>
      <c r="F22" s="36" t="s">
        <v>135</v>
      </c>
      <c r="G22" s="36" t="s">
        <v>136</v>
      </c>
      <c r="H22" s="36" t="s">
        <v>51</v>
      </c>
      <c r="I22" s="36" t="s">
        <v>52</v>
      </c>
      <c r="J22" s="37" t="s">
        <v>83</v>
      </c>
      <c r="K22" s="37"/>
      <c r="L22" s="38"/>
      <c r="M22" s="39" t="s">
        <v>110</v>
      </c>
      <c r="N22" s="36" t="s">
        <v>133</v>
      </c>
      <c r="O22" s="37">
        <v>46325</v>
      </c>
      <c r="P22" s="37">
        <v>46325</v>
      </c>
      <c r="Q22" s="37">
        <v>46163</v>
      </c>
      <c r="R22" s="37"/>
      <c r="S22" s="40">
        <v>6500</v>
      </c>
      <c r="T22" s="41"/>
      <c r="U22" s="42">
        <v>14.45</v>
      </c>
      <c r="V22" s="42"/>
      <c r="W22" s="42"/>
      <c r="X22" s="40"/>
      <c r="Y22" s="21">
        <v>46090</v>
      </c>
      <c r="Z22" s="22">
        <v>46177</v>
      </c>
      <c r="AA22" s="22"/>
      <c r="AB22" s="23"/>
      <c r="AC22" s="21"/>
      <c r="AD22" s="24" t="s">
        <v>134</v>
      </c>
      <c r="AE22" s="21">
        <v>46059</v>
      </c>
      <c r="AF22" s="21">
        <v>46126</v>
      </c>
      <c r="AG22" s="23"/>
      <c r="AH22" s="23"/>
    </row>
    <row r="23" spans="1:34" ht="14.25">
      <c r="A23" s="11" t="s">
        <v>34</v>
      </c>
      <c r="B23" s="34" t="str">
        <f t="shared" si="0"/>
        <v>SS27P0</v>
      </c>
      <c r="C23" s="35" t="s">
        <v>35</v>
      </c>
      <c r="D23" s="35" t="s">
        <v>36</v>
      </c>
      <c r="E23" s="36" t="s">
        <v>137</v>
      </c>
      <c r="F23" s="36" t="s">
        <v>138</v>
      </c>
      <c r="G23" s="36" t="s">
        <v>139</v>
      </c>
      <c r="H23" s="36" t="s">
        <v>51</v>
      </c>
      <c r="I23" s="36" t="s">
        <v>52</v>
      </c>
      <c r="J23" s="37" t="s">
        <v>83</v>
      </c>
      <c r="K23" s="37"/>
      <c r="L23" s="38"/>
      <c r="M23" s="39" t="s">
        <v>110</v>
      </c>
      <c r="N23" s="36" t="s">
        <v>140</v>
      </c>
      <c r="O23" s="37">
        <v>46325</v>
      </c>
      <c r="P23" s="37">
        <v>46325</v>
      </c>
      <c r="Q23" s="37">
        <v>46177</v>
      </c>
      <c r="R23" s="37"/>
      <c r="S23" s="40">
        <v>500</v>
      </c>
      <c r="T23" s="41"/>
      <c r="U23" s="42">
        <v>13.3</v>
      </c>
      <c r="V23" s="42"/>
      <c r="W23" s="42"/>
      <c r="X23" s="40"/>
      <c r="Y23" s="21">
        <v>46087</v>
      </c>
      <c r="Z23" s="22">
        <v>46162</v>
      </c>
      <c r="AA23" s="22">
        <v>46161</v>
      </c>
      <c r="AB23" s="23"/>
      <c r="AC23" s="21"/>
      <c r="AD23" s="24" t="s">
        <v>141</v>
      </c>
      <c r="AE23" s="21">
        <v>46059</v>
      </c>
      <c r="AF23" s="21">
        <v>46126</v>
      </c>
      <c r="AG23" s="23"/>
      <c r="AH23" s="23"/>
    </row>
    <row r="24" spans="1:34" ht="14.25">
      <c r="A24" s="11" t="s">
        <v>34</v>
      </c>
      <c r="B24" s="34" t="str">
        <f t="shared" si="0"/>
        <v>SS27P0</v>
      </c>
      <c r="C24" s="35" t="s">
        <v>35</v>
      </c>
      <c r="D24" s="35" t="s">
        <v>36</v>
      </c>
      <c r="E24" s="36" t="s">
        <v>137</v>
      </c>
      <c r="F24" s="36" t="s">
        <v>142</v>
      </c>
      <c r="G24" s="36" t="s">
        <v>143</v>
      </c>
      <c r="H24" s="36" t="s">
        <v>51</v>
      </c>
      <c r="I24" s="36" t="s">
        <v>52</v>
      </c>
      <c r="J24" s="37" t="s">
        <v>83</v>
      </c>
      <c r="K24" s="37"/>
      <c r="L24" s="38"/>
      <c r="M24" s="39" t="s">
        <v>119</v>
      </c>
      <c r="N24" s="36" t="s">
        <v>144</v>
      </c>
      <c r="O24" s="37">
        <v>46325</v>
      </c>
      <c r="P24" s="37">
        <v>46325</v>
      </c>
      <c r="Q24" s="37">
        <v>46177</v>
      </c>
      <c r="R24" s="37"/>
      <c r="S24" s="40">
        <v>500</v>
      </c>
      <c r="T24" s="41"/>
      <c r="U24" s="42">
        <v>4.3</v>
      </c>
      <c r="V24" s="42"/>
      <c r="W24" s="42"/>
      <c r="X24" s="40"/>
      <c r="Y24" s="21">
        <v>46064</v>
      </c>
      <c r="Z24" s="22">
        <v>46098</v>
      </c>
      <c r="AA24" s="22">
        <v>46100</v>
      </c>
      <c r="AB24" s="23"/>
      <c r="AC24" s="21"/>
      <c r="AD24" s="24" t="s">
        <v>76</v>
      </c>
      <c r="AE24" s="21">
        <v>46059</v>
      </c>
      <c r="AF24" s="21">
        <v>46120</v>
      </c>
      <c r="AG24" s="23"/>
      <c r="AH24" s="23"/>
    </row>
    <row r="25" spans="1:34" ht="14.25">
      <c r="A25" s="11" t="s">
        <v>34</v>
      </c>
      <c r="B25" s="34" t="str">
        <f t="shared" si="0"/>
        <v>SS27P0</v>
      </c>
      <c r="C25" s="35" t="s">
        <v>35</v>
      </c>
      <c r="D25" s="35" t="s">
        <v>36</v>
      </c>
      <c r="E25" s="36" t="s">
        <v>137</v>
      </c>
      <c r="F25" s="36" t="s">
        <v>145</v>
      </c>
      <c r="G25" s="36" t="s">
        <v>146</v>
      </c>
      <c r="H25" s="36" t="s">
        <v>51</v>
      </c>
      <c r="I25" s="36" t="s">
        <v>52</v>
      </c>
      <c r="J25" s="37" t="s">
        <v>83</v>
      </c>
      <c r="K25" s="37"/>
      <c r="L25" s="38"/>
      <c r="M25" s="39" t="s">
        <v>44</v>
      </c>
      <c r="N25" s="36" t="s">
        <v>144</v>
      </c>
      <c r="O25" s="37">
        <v>46325</v>
      </c>
      <c r="P25" s="37">
        <v>46325</v>
      </c>
      <c r="Q25" s="37">
        <v>46177</v>
      </c>
      <c r="R25" s="37"/>
      <c r="S25" s="40">
        <v>7000</v>
      </c>
      <c r="T25" s="41"/>
      <c r="U25" s="42">
        <v>5.35</v>
      </c>
      <c r="V25" s="42"/>
      <c r="W25" s="42"/>
      <c r="X25" s="40"/>
      <c r="Y25" s="21">
        <v>46064</v>
      </c>
      <c r="Z25" s="22" t="s">
        <v>42</v>
      </c>
      <c r="AA25" s="22"/>
      <c r="AB25" s="23"/>
      <c r="AC25" s="21"/>
      <c r="AD25" s="24" t="s">
        <v>147</v>
      </c>
      <c r="AE25" s="21">
        <v>46059</v>
      </c>
      <c r="AF25" s="21">
        <v>46120</v>
      </c>
      <c r="AG25" s="23"/>
      <c r="AH25" s="23"/>
    </row>
    <row r="26" spans="1:34" ht="14.25">
      <c r="A26" s="11" t="s">
        <v>34</v>
      </c>
      <c r="B26" s="34" t="str">
        <f t="shared" si="0"/>
        <v>SS27P0</v>
      </c>
      <c r="C26" s="35" t="s">
        <v>35</v>
      </c>
      <c r="D26" s="35" t="s">
        <v>36</v>
      </c>
      <c r="E26" s="36" t="s">
        <v>148</v>
      </c>
      <c r="F26" s="36" t="s">
        <v>149</v>
      </c>
      <c r="G26" s="36" t="s">
        <v>150</v>
      </c>
      <c r="H26" s="36" t="s">
        <v>51</v>
      </c>
      <c r="I26" s="36" t="s">
        <v>52</v>
      </c>
      <c r="J26" s="37" t="s">
        <v>83</v>
      </c>
      <c r="K26" s="37" t="s">
        <v>54</v>
      </c>
      <c r="L26" s="38" t="s">
        <v>43</v>
      </c>
      <c r="M26" s="39" t="s">
        <v>55</v>
      </c>
      <c r="N26" s="36" t="s">
        <v>151</v>
      </c>
      <c r="O26" s="37">
        <v>46325</v>
      </c>
      <c r="P26" s="37">
        <v>46325</v>
      </c>
      <c r="Q26" s="37">
        <v>46177</v>
      </c>
      <c r="R26" s="37"/>
      <c r="S26" s="40">
        <v>7700</v>
      </c>
      <c r="T26" s="41"/>
      <c r="U26" s="42">
        <v>5.35</v>
      </c>
      <c r="V26" s="42"/>
      <c r="W26" s="42"/>
      <c r="X26" s="40"/>
      <c r="Y26" s="21">
        <v>46104</v>
      </c>
      <c r="Z26" s="22">
        <v>46126</v>
      </c>
      <c r="AA26" s="22">
        <v>46127</v>
      </c>
      <c r="AB26" s="23"/>
      <c r="AC26" s="21">
        <v>46108</v>
      </c>
      <c r="AD26" s="24" t="s">
        <v>57</v>
      </c>
      <c r="AE26" s="21">
        <v>46059</v>
      </c>
      <c r="AF26" s="21">
        <v>46097</v>
      </c>
      <c r="AG26" s="23"/>
      <c r="AH26" s="23"/>
    </row>
    <row r="27" spans="1:34" ht="14.25">
      <c r="A27" s="11" t="s">
        <v>34</v>
      </c>
      <c r="B27" s="34" t="str">
        <f t="shared" si="0"/>
        <v>SS27P0</v>
      </c>
      <c r="C27" s="35" t="s">
        <v>35</v>
      </c>
      <c r="D27" s="35" t="s">
        <v>36</v>
      </c>
      <c r="E27" s="36" t="s">
        <v>137</v>
      </c>
      <c r="F27" s="36" t="s">
        <v>152</v>
      </c>
      <c r="G27" s="36" t="s">
        <v>153</v>
      </c>
      <c r="H27" s="36" t="s">
        <v>51</v>
      </c>
      <c r="I27" s="36" t="s">
        <v>52</v>
      </c>
      <c r="J27" s="37" t="s">
        <v>83</v>
      </c>
      <c r="K27" s="37"/>
      <c r="L27" s="38"/>
      <c r="M27" s="39" t="s">
        <v>110</v>
      </c>
      <c r="N27" s="36" t="s">
        <v>140</v>
      </c>
      <c r="O27" s="37">
        <v>46325</v>
      </c>
      <c r="P27" s="37">
        <v>46325</v>
      </c>
      <c r="Q27" s="37">
        <v>46177</v>
      </c>
      <c r="R27" s="37"/>
      <c r="S27" s="40">
        <v>5300</v>
      </c>
      <c r="T27" s="41"/>
      <c r="U27" s="42">
        <v>14.3</v>
      </c>
      <c r="V27" s="42"/>
      <c r="W27" s="42"/>
      <c r="X27" s="40"/>
      <c r="Y27" s="21">
        <v>46087</v>
      </c>
      <c r="Z27" s="22">
        <v>46162</v>
      </c>
      <c r="AA27" s="22">
        <v>46161</v>
      </c>
      <c r="AB27" s="23"/>
      <c r="AC27" s="21"/>
      <c r="AD27" s="24" t="s">
        <v>141</v>
      </c>
      <c r="AE27" s="21">
        <v>46059</v>
      </c>
      <c r="AF27" s="21">
        <v>46126</v>
      </c>
      <c r="AG27" s="23"/>
      <c r="AH27" s="23"/>
    </row>
    <row r="28" spans="1:34" ht="14.25">
      <c r="A28" s="11" t="s">
        <v>34</v>
      </c>
      <c r="B28" s="12" t="str">
        <f t="shared" si="0"/>
        <v>SS27P0</v>
      </c>
      <c r="C28" s="13" t="s">
        <v>35</v>
      </c>
      <c r="D28" s="13" t="s">
        <v>36</v>
      </c>
      <c r="E28" s="14" t="s">
        <v>154</v>
      </c>
      <c r="F28" s="14" t="s">
        <v>155</v>
      </c>
      <c r="G28" s="14" t="s">
        <v>156</v>
      </c>
      <c r="H28" s="14" t="s">
        <v>40</v>
      </c>
      <c r="I28" s="14" t="s">
        <v>41</v>
      </c>
      <c r="J28" s="15" t="s">
        <v>42</v>
      </c>
      <c r="K28" s="15"/>
      <c r="L28" s="16"/>
      <c r="M28" s="17" t="s">
        <v>119</v>
      </c>
      <c r="N28" s="14" t="s">
        <v>157</v>
      </c>
      <c r="O28" s="15">
        <v>46325</v>
      </c>
      <c r="P28" s="15">
        <v>46325</v>
      </c>
      <c r="Q28" s="15">
        <v>46184</v>
      </c>
      <c r="R28" s="15"/>
      <c r="S28" s="18">
        <v>3000</v>
      </c>
      <c r="T28" s="19">
        <v>3000</v>
      </c>
      <c r="U28" s="20">
        <v>5.4</v>
      </c>
      <c r="V28" s="20">
        <v>3.4</v>
      </c>
      <c r="W28" s="20">
        <v>4.0999999999999996</v>
      </c>
      <c r="X28" s="18"/>
      <c r="Y28" s="21">
        <v>46140</v>
      </c>
      <c r="Z28" s="22">
        <v>46154</v>
      </c>
      <c r="AA28" s="22">
        <v>46155</v>
      </c>
      <c r="AB28" s="23"/>
      <c r="AC28" s="23"/>
      <c r="AD28" s="24" t="s">
        <v>158</v>
      </c>
      <c r="AE28" s="21">
        <v>46087</v>
      </c>
      <c r="AF28" s="21">
        <v>46112</v>
      </c>
      <c r="AG28" s="23"/>
      <c r="AH28" s="23"/>
    </row>
    <row r="29" spans="1:34" ht="14.25">
      <c r="A29" s="11" t="s">
        <v>34</v>
      </c>
      <c r="B29" s="34" t="str">
        <f t="shared" si="0"/>
        <v>SS27P0</v>
      </c>
      <c r="C29" s="35" t="s">
        <v>35</v>
      </c>
      <c r="D29" s="35" t="s">
        <v>36</v>
      </c>
      <c r="E29" s="36" t="s">
        <v>154</v>
      </c>
      <c r="F29" s="36" t="s">
        <v>159</v>
      </c>
      <c r="G29" s="36" t="s">
        <v>160</v>
      </c>
      <c r="H29" s="36" t="s">
        <v>40</v>
      </c>
      <c r="I29" s="36" t="s">
        <v>41</v>
      </c>
      <c r="J29" s="37" t="s">
        <v>83</v>
      </c>
      <c r="K29" s="37" t="s">
        <v>54</v>
      </c>
      <c r="L29" s="38" t="s">
        <v>43</v>
      </c>
      <c r="M29" s="39" t="s">
        <v>55</v>
      </c>
      <c r="N29" s="36" t="s">
        <v>95</v>
      </c>
      <c r="O29" s="37">
        <v>46325</v>
      </c>
      <c r="P29" s="37">
        <v>46325</v>
      </c>
      <c r="Q29" s="37">
        <v>46177</v>
      </c>
      <c r="R29" s="37"/>
      <c r="S29" s="40">
        <v>4500</v>
      </c>
      <c r="T29" s="41"/>
      <c r="U29" s="42">
        <v>9</v>
      </c>
      <c r="V29" s="42"/>
      <c r="W29" s="42"/>
      <c r="X29" s="40"/>
      <c r="Y29" s="21">
        <v>46108</v>
      </c>
      <c r="Z29" s="22">
        <v>46129</v>
      </c>
      <c r="AA29" s="22">
        <v>46129</v>
      </c>
      <c r="AB29" s="23"/>
      <c r="AC29" s="21">
        <v>46112</v>
      </c>
      <c r="AD29" s="24" t="s">
        <v>161</v>
      </c>
      <c r="AE29" s="21">
        <v>46087</v>
      </c>
      <c r="AF29" s="21">
        <v>46097</v>
      </c>
      <c r="AG29" s="23"/>
      <c r="AH29" s="23"/>
    </row>
    <row r="30" spans="1:34" ht="14.25">
      <c r="A30" s="11" t="s">
        <v>34</v>
      </c>
      <c r="B30" s="43" t="str">
        <f>CONCATENATE(C30,D30)</f>
        <v>SS27P0</v>
      </c>
      <c r="C30" s="24" t="s">
        <v>35</v>
      </c>
      <c r="D30" s="24" t="s">
        <v>36</v>
      </c>
      <c r="E30" s="23" t="s">
        <v>162</v>
      </c>
      <c r="F30" s="23" t="s">
        <v>163</v>
      </c>
      <c r="G30" s="22" t="s">
        <v>164</v>
      </c>
      <c r="H30" s="43" t="s">
        <v>51</v>
      </c>
      <c r="I30" s="43" t="s">
        <v>52</v>
      </c>
      <c r="J30" s="44" t="s">
        <v>165</v>
      </c>
      <c r="K30" s="44" t="s">
        <v>54</v>
      </c>
      <c r="L30" s="44" t="s">
        <v>43</v>
      </c>
      <c r="M30" s="45" t="s">
        <v>55</v>
      </c>
      <c r="N30" s="23" t="s">
        <v>166</v>
      </c>
      <c r="O30" s="46">
        <v>46325</v>
      </c>
      <c r="P30" s="22"/>
      <c r="Q30" s="22"/>
      <c r="R30" s="22"/>
      <c r="S30" s="47">
        <f>9000+16000+10500</f>
        <v>35500</v>
      </c>
      <c r="T30" s="48"/>
      <c r="U30" s="49"/>
      <c r="V30" s="49"/>
      <c r="W30" s="49"/>
      <c r="X30" s="50"/>
      <c r="Y30" s="21">
        <v>46078</v>
      </c>
      <c r="Z30" s="22">
        <v>46150</v>
      </c>
      <c r="AA30" s="22">
        <v>46150</v>
      </c>
      <c r="AB30" s="23"/>
      <c r="AC30" s="23"/>
      <c r="AD30" s="24" t="s">
        <v>167</v>
      </c>
      <c r="AE30" s="21">
        <v>46114</v>
      </c>
      <c r="AF30" s="21">
        <v>46126</v>
      </c>
      <c r="AG30" s="23"/>
      <c r="AH30" s="23"/>
    </row>
    <row r="31" spans="1:34" ht="14.25">
      <c r="A31" s="11" t="s">
        <v>34</v>
      </c>
      <c r="B31" s="34" t="str">
        <f t="shared" si="0"/>
        <v>SS27P0</v>
      </c>
      <c r="C31" s="35" t="s">
        <v>35</v>
      </c>
      <c r="D31" s="35" t="s">
        <v>36</v>
      </c>
      <c r="E31" s="36" t="s">
        <v>168</v>
      </c>
      <c r="F31" s="36" t="s">
        <v>169</v>
      </c>
      <c r="G31" s="36" t="s">
        <v>170</v>
      </c>
      <c r="H31" s="36" t="s">
        <v>40</v>
      </c>
      <c r="I31" s="36" t="s">
        <v>41</v>
      </c>
      <c r="J31" s="37" t="s">
        <v>83</v>
      </c>
      <c r="K31" s="37"/>
      <c r="L31" s="38" t="s">
        <v>171</v>
      </c>
      <c r="M31" s="39" t="s">
        <v>44</v>
      </c>
      <c r="N31" s="36" t="s">
        <v>172</v>
      </c>
      <c r="O31" s="37">
        <v>46332</v>
      </c>
      <c r="P31" s="37">
        <v>46332</v>
      </c>
      <c r="Q31" s="37">
        <v>46191</v>
      </c>
      <c r="R31" s="37"/>
      <c r="S31" s="40">
        <v>8500</v>
      </c>
      <c r="T31" s="41"/>
      <c r="U31" s="42">
        <v>8.85</v>
      </c>
      <c r="V31" s="42"/>
      <c r="W31" s="42"/>
      <c r="X31" s="40"/>
      <c r="Y31" s="21">
        <v>46064</v>
      </c>
      <c r="Z31" s="22">
        <v>46150</v>
      </c>
      <c r="AA31" s="22">
        <v>46150</v>
      </c>
      <c r="AB31" s="23"/>
      <c r="AC31" s="21"/>
      <c r="AD31" s="24" t="s">
        <v>173</v>
      </c>
      <c r="AE31" s="21">
        <v>46059</v>
      </c>
      <c r="AF31" s="21">
        <v>46125</v>
      </c>
      <c r="AG31" s="23"/>
      <c r="AH31" s="23"/>
    </row>
    <row r="32" spans="1:34" ht="14.25">
      <c r="A32" s="11" t="s">
        <v>34</v>
      </c>
      <c r="B32" s="34" t="str">
        <f t="shared" si="0"/>
        <v>SS27P0</v>
      </c>
      <c r="C32" s="35" t="s">
        <v>35</v>
      </c>
      <c r="D32" s="35" t="s">
        <v>36</v>
      </c>
      <c r="E32" s="36" t="s">
        <v>168</v>
      </c>
      <c r="F32" s="36" t="s">
        <v>174</v>
      </c>
      <c r="G32" s="36" t="s">
        <v>175</v>
      </c>
      <c r="H32" s="36" t="s">
        <v>40</v>
      </c>
      <c r="I32" s="36" t="s">
        <v>41</v>
      </c>
      <c r="J32" s="37" t="s">
        <v>83</v>
      </c>
      <c r="K32" s="37"/>
      <c r="L32" s="38"/>
      <c r="M32" s="39" t="s">
        <v>119</v>
      </c>
      <c r="N32" s="36" t="s">
        <v>120</v>
      </c>
      <c r="O32" s="37">
        <v>46332</v>
      </c>
      <c r="P32" s="37">
        <v>46332</v>
      </c>
      <c r="Q32" s="37">
        <v>46191</v>
      </c>
      <c r="R32" s="37"/>
      <c r="S32" s="40">
        <v>500</v>
      </c>
      <c r="T32" s="41"/>
      <c r="U32" s="42">
        <v>8.15</v>
      </c>
      <c r="V32" s="42"/>
      <c r="W32" s="42"/>
      <c r="X32" s="40"/>
      <c r="Y32" s="21">
        <v>46063</v>
      </c>
      <c r="Z32" s="22">
        <v>46154</v>
      </c>
      <c r="AA32" s="22">
        <v>46154</v>
      </c>
      <c r="AB32" s="23"/>
      <c r="AC32" s="21"/>
      <c r="AD32" s="24" t="s">
        <v>76</v>
      </c>
      <c r="AE32" s="21">
        <v>46059</v>
      </c>
      <c r="AF32" s="21">
        <v>46120</v>
      </c>
      <c r="AG32" s="23"/>
      <c r="AH32" s="23"/>
    </row>
    <row r="33" spans="1:34" ht="14.25">
      <c r="A33" s="11" t="s">
        <v>34</v>
      </c>
      <c r="B33" s="34" t="str">
        <f t="shared" si="0"/>
        <v>SS27P0</v>
      </c>
      <c r="C33" s="35" t="s">
        <v>35</v>
      </c>
      <c r="D33" s="35" t="s">
        <v>36</v>
      </c>
      <c r="E33" s="36" t="s">
        <v>168</v>
      </c>
      <c r="F33" s="36" t="s">
        <v>176</v>
      </c>
      <c r="G33" s="36" t="s">
        <v>177</v>
      </c>
      <c r="H33" s="36" t="s">
        <v>40</v>
      </c>
      <c r="I33" s="36" t="s">
        <v>41</v>
      </c>
      <c r="J33" s="37" t="s">
        <v>83</v>
      </c>
      <c r="K33" s="37"/>
      <c r="L33" s="38"/>
      <c r="M33" s="39" t="s">
        <v>44</v>
      </c>
      <c r="N33" s="36" t="s">
        <v>120</v>
      </c>
      <c r="O33" s="37">
        <v>46332</v>
      </c>
      <c r="P33" s="37">
        <v>46332</v>
      </c>
      <c r="Q33" s="37">
        <v>46191</v>
      </c>
      <c r="R33" s="37"/>
      <c r="S33" s="40">
        <v>8000</v>
      </c>
      <c r="T33" s="41"/>
      <c r="U33" s="42">
        <v>9.9</v>
      </c>
      <c r="V33" s="42"/>
      <c r="W33" s="42"/>
      <c r="X33" s="40"/>
      <c r="Y33" s="21">
        <v>46063</v>
      </c>
      <c r="Z33" s="22">
        <v>46154</v>
      </c>
      <c r="AA33" s="22">
        <v>46155</v>
      </c>
      <c r="AB33" s="23"/>
      <c r="AC33" s="21"/>
      <c r="AD33" s="24" t="s">
        <v>178</v>
      </c>
      <c r="AE33" s="21">
        <v>46059</v>
      </c>
      <c r="AF33" s="21">
        <v>46120</v>
      </c>
      <c r="AG33" s="23"/>
      <c r="AH33" s="23"/>
    </row>
    <row r="34" spans="1:34" ht="14.25">
      <c r="A34" s="11" t="s">
        <v>34</v>
      </c>
      <c r="B34" s="34" t="str">
        <f t="shared" si="0"/>
        <v>SS27P0</v>
      </c>
      <c r="C34" s="35" t="s">
        <v>35</v>
      </c>
      <c r="D34" s="35" t="s">
        <v>36</v>
      </c>
      <c r="E34" s="36" t="s">
        <v>168</v>
      </c>
      <c r="F34" s="36" t="s">
        <v>179</v>
      </c>
      <c r="G34" s="36" t="s">
        <v>180</v>
      </c>
      <c r="H34" s="36" t="s">
        <v>40</v>
      </c>
      <c r="I34" s="36" t="s">
        <v>41</v>
      </c>
      <c r="J34" s="37" t="s">
        <v>83</v>
      </c>
      <c r="K34" s="37"/>
      <c r="L34" s="38"/>
      <c r="M34" s="39" t="s">
        <v>119</v>
      </c>
      <c r="N34" s="36" t="s">
        <v>181</v>
      </c>
      <c r="O34" s="37">
        <v>46332</v>
      </c>
      <c r="P34" s="37">
        <v>46332</v>
      </c>
      <c r="Q34" s="37">
        <v>46191</v>
      </c>
      <c r="R34" s="37"/>
      <c r="S34" s="40">
        <v>8000</v>
      </c>
      <c r="T34" s="41"/>
      <c r="U34" s="42">
        <v>5.0999999999999996</v>
      </c>
      <c r="V34" s="42"/>
      <c r="W34" s="42"/>
      <c r="X34" s="40"/>
      <c r="Y34" s="21">
        <v>46070</v>
      </c>
      <c r="Z34" s="22">
        <v>46136</v>
      </c>
      <c r="AA34" s="22">
        <v>46136</v>
      </c>
      <c r="AB34" s="23"/>
      <c r="AC34" s="21"/>
      <c r="AD34" s="24" t="s">
        <v>76</v>
      </c>
      <c r="AE34" s="21">
        <v>46059</v>
      </c>
      <c r="AF34" s="21">
        <v>46120</v>
      </c>
      <c r="AG34" s="23"/>
      <c r="AH34" s="23"/>
    </row>
    <row r="35" spans="1:34" ht="14.25">
      <c r="A35" s="11" t="s">
        <v>34</v>
      </c>
      <c r="B35" s="34" t="str">
        <f t="shared" si="0"/>
        <v>SS27P0</v>
      </c>
      <c r="C35" s="35" t="s">
        <v>35</v>
      </c>
      <c r="D35" s="35" t="s">
        <v>36</v>
      </c>
      <c r="E35" s="36" t="s">
        <v>168</v>
      </c>
      <c r="F35" s="36" t="s">
        <v>182</v>
      </c>
      <c r="G35" s="36" t="s">
        <v>183</v>
      </c>
      <c r="H35" s="36" t="s">
        <v>40</v>
      </c>
      <c r="I35" s="36" t="s">
        <v>41</v>
      </c>
      <c r="J35" s="37" t="s">
        <v>83</v>
      </c>
      <c r="K35" s="37"/>
      <c r="L35" s="38"/>
      <c r="M35" s="39" t="s">
        <v>44</v>
      </c>
      <c r="N35" s="36" t="s">
        <v>181</v>
      </c>
      <c r="O35" s="37">
        <v>46332</v>
      </c>
      <c r="P35" s="37" t="s">
        <v>184</v>
      </c>
      <c r="Q35" s="37">
        <v>46191</v>
      </c>
      <c r="R35" s="37"/>
      <c r="S35" s="40">
        <v>12000</v>
      </c>
      <c r="T35" s="41"/>
      <c r="U35" s="42">
        <v>6.45</v>
      </c>
      <c r="V35" s="42"/>
      <c r="W35" s="42"/>
      <c r="X35" s="40"/>
      <c r="Y35" s="21">
        <v>46070</v>
      </c>
      <c r="Z35" s="22">
        <v>46142</v>
      </c>
      <c r="AA35" s="22">
        <v>46142</v>
      </c>
      <c r="AB35" s="23"/>
      <c r="AC35" s="21"/>
      <c r="AD35" s="24" t="s">
        <v>185</v>
      </c>
      <c r="AE35" s="21">
        <v>46059</v>
      </c>
      <c r="AF35" s="21">
        <v>46120</v>
      </c>
      <c r="AG35" s="23"/>
      <c r="AH35" s="23"/>
    </row>
    <row r="36" spans="1:34" ht="14.25">
      <c r="A36" s="11" t="s">
        <v>34</v>
      </c>
      <c r="B36" s="34" t="str">
        <f t="shared" si="0"/>
        <v>SS27P0</v>
      </c>
      <c r="C36" s="35" t="s">
        <v>35</v>
      </c>
      <c r="D36" s="35" t="s">
        <v>36</v>
      </c>
      <c r="E36" s="36" t="s">
        <v>168</v>
      </c>
      <c r="F36" s="36" t="s">
        <v>186</v>
      </c>
      <c r="G36" s="36" t="s">
        <v>187</v>
      </c>
      <c r="H36" s="36" t="s">
        <v>40</v>
      </c>
      <c r="I36" s="36" t="s">
        <v>41</v>
      </c>
      <c r="J36" s="37" t="s">
        <v>83</v>
      </c>
      <c r="K36" s="37" t="s">
        <v>54</v>
      </c>
      <c r="L36" s="38" t="s">
        <v>43</v>
      </c>
      <c r="M36" s="39" t="s">
        <v>55</v>
      </c>
      <c r="N36" s="36" t="s">
        <v>188</v>
      </c>
      <c r="O36" s="37">
        <v>46332</v>
      </c>
      <c r="P36" s="37">
        <v>46332</v>
      </c>
      <c r="Q36" s="37">
        <v>46191</v>
      </c>
      <c r="R36" s="37"/>
      <c r="S36" s="40">
        <v>6000</v>
      </c>
      <c r="T36" s="41"/>
      <c r="U36" s="42">
        <v>7.95</v>
      </c>
      <c r="V36" s="42"/>
      <c r="W36" s="42"/>
      <c r="X36" s="40"/>
      <c r="Y36" s="21">
        <v>46087</v>
      </c>
      <c r="Z36" s="22">
        <v>46126</v>
      </c>
      <c r="AA36" s="22">
        <v>46127</v>
      </c>
      <c r="AB36" s="23"/>
      <c r="AC36" s="21">
        <v>46108</v>
      </c>
      <c r="AD36" s="24" t="s">
        <v>189</v>
      </c>
      <c r="AE36" s="21">
        <v>46059</v>
      </c>
      <c r="AF36" s="21">
        <v>46097</v>
      </c>
      <c r="AG36" s="23"/>
      <c r="AH36" s="23"/>
    </row>
    <row r="37" spans="1:34" ht="14.25">
      <c r="A37" s="11" t="s">
        <v>34</v>
      </c>
      <c r="B37" s="34" t="str">
        <f t="shared" si="0"/>
        <v>SS27P0</v>
      </c>
      <c r="C37" s="35" t="s">
        <v>35</v>
      </c>
      <c r="D37" s="35" t="s">
        <v>36</v>
      </c>
      <c r="E37" s="36" t="s">
        <v>190</v>
      </c>
      <c r="F37" s="36" t="s">
        <v>191</v>
      </c>
      <c r="G37" s="36" t="s">
        <v>192</v>
      </c>
      <c r="H37" s="36" t="s">
        <v>40</v>
      </c>
      <c r="I37" s="36" t="s">
        <v>41</v>
      </c>
      <c r="J37" s="37" t="s">
        <v>83</v>
      </c>
      <c r="K37" s="37"/>
      <c r="L37" s="38"/>
      <c r="M37" s="39" t="s">
        <v>119</v>
      </c>
      <c r="N37" s="36" t="s">
        <v>144</v>
      </c>
      <c r="O37" s="37">
        <v>46332</v>
      </c>
      <c r="P37" s="37">
        <v>46332</v>
      </c>
      <c r="Q37" s="37">
        <v>46177</v>
      </c>
      <c r="R37" s="37"/>
      <c r="S37" s="40">
        <v>500</v>
      </c>
      <c r="T37" s="41"/>
      <c r="U37" s="42">
        <v>5.2</v>
      </c>
      <c r="V37" s="42"/>
      <c r="W37" s="42"/>
      <c r="X37" s="40"/>
      <c r="Y37" s="21">
        <v>46064</v>
      </c>
      <c r="Z37" s="22">
        <v>46136</v>
      </c>
      <c r="AA37" s="22">
        <v>46136</v>
      </c>
      <c r="AB37" s="23"/>
      <c r="AC37" s="21"/>
      <c r="AD37" s="24" t="s">
        <v>76</v>
      </c>
      <c r="AE37" s="21">
        <v>46059</v>
      </c>
      <c r="AF37" s="21">
        <v>46120</v>
      </c>
      <c r="AG37" s="23"/>
      <c r="AH37" s="23"/>
    </row>
    <row r="38" spans="1:34" ht="14.25">
      <c r="A38" s="11" t="s">
        <v>34</v>
      </c>
      <c r="B38" s="34" t="str">
        <f t="shared" si="0"/>
        <v>SS27P0</v>
      </c>
      <c r="C38" s="35" t="s">
        <v>35</v>
      </c>
      <c r="D38" s="35" t="s">
        <v>36</v>
      </c>
      <c r="E38" s="36" t="s">
        <v>190</v>
      </c>
      <c r="F38" s="36" t="s">
        <v>193</v>
      </c>
      <c r="G38" s="36" t="s">
        <v>194</v>
      </c>
      <c r="H38" s="36" t="s">
        <v>40</v>
      </c>
      <c r="I38" s="36" t="s">
        <v>41</v>
      </c>
      <c r="J38" s="37" t="s">
        <v>83</v>
      </c>
      <c r="K38" s="37"/>
      <c r="L38" s="38"/>
      <c r="M38" s="39" t="s">
        <v>44</v>
      </c>
      <c r="N38" s="36" t="s">
        <v>144</v>
      </c>
      <c r="O38" s="37">
        <v>46332</v>
      </c>
      <c r="P38" s="37">
        <v>46332</v>
      </c>
      <c r="Q38" s="37">
        <v>46177</v>
      </c>
      <c r="R38" s="37"/>
      <c r="S38" s="40">
        <v>7000</v>
      </c>
      <c r="T38" s="41"/>
      <c r="U38" s="42">
        <v>6.45</v>
      </c>
      <c r="V38" s="42"/>
      <c r="W38" s="42"/>
      <c r="X38" s="40"/>
      <c r="Y38" s="21">
        <v>46064</v>
      </c>
      <c r="Z38" s="22">
        <v>46136</v>
      </c>
      <c r="AA38" s="22">
        <v>46136</v>
      </c>
      <c r="AB38" s="23"/>
      <c r="AC38" s="21"/>
      <c r="AD38" s="24" t="s">
        <v>76</v>
      </c>
      <c r="AE38" s="21">
        <v>46059</v>
      </c>
      <c r="AF38" s="21">
        <v>46120</v>
      </c>
      <c r="AG38" s="23"/>
      <c r="AH38" s="23"/>
    </row>
    <row r="39" spans="1:34" ht="14.25">
      <c r="A39" s="11" t="s">
        <v>34</v>
      </c>
      <c r="B39" s="34" t="str">
        <f t="shared" si="0"/>
        <v>SS27P0</v>
      </c>
      <c r="C39" s="35" t="s">
        <v>35</v>
      </c>
      <c r="D39" s="35" t="s">
        <v>36</v>
      </c>
      <c r="E39" s="36" t="s">
        <v>190</v>
      </c>
      <c r="F39" s="36" t="s">
        <v>195</v>
      </c>
      <c r="G39" s="36" t="s">
        <v>196</v>
      </c>
      <c r="H39" s="36" t="s">
        <v>40</v>
      </c>
      <c r="I39" s="36" t="s">
        <v>41</v>
      </c>
      <c r="J39" s="37" t="s">
        <v>83</v>
      </c>
      <c r="K39" s="37"/>
      <c r="L39" s="38"/>
      <c r="M39" s="39" t="s">
        <v>44</v>
      </c>
      <c r="N39" s="36" t="s">
        <v>197</v>
      </c>
      <c r="O39" s="37">
        <v>46332</v>
      </c>
      <c r="P39" s="37">
        <v>46332</v>
      </c>
      <c r="Q39" s="37">
        <v>46177</v>
      </c>
      <c r="R39" s="37"/>
      <c r="S39" s="40">
        <v>10000</v>
      </c>
      <c r="T39" s="41"/>
      <c r="U39" s="42">
        <v>7.95</v>
      </c>
      <c r="V39" s="42"/>
      <c r="W39" s="42"/>
      <c r="X39" s="40"/>
      <c r="Y39" s="21">
        <v>46059</v>
      </c>
      <c r="Z39" s="22">
        <v>46177</v>
      </c>
      <c r="AA39" s="22"/>
      <c r="AB39" s="23"/>
      <c r="AC39" s="21"/>
      <c r="AD39" s="24" t="s">
        <v>198</v>
      </c>
      <c r="AE39" s="21">
        <v>46059</v>
      </c>
      <c r="AF39" s="21">
        <v>46120</v>
      </c>
      <c r="AG39" s="23"/>
      <c r="AH39" s="23"/>
    </row>
    <row r="40" spans="1:34" ht="14.25">
      <c r="A40" s="11" t="s">
        <v>34</v>
      </c>
      <c r="B40" s="34" t="str">
        <f t="shared" si="0"/>
        <v>SS27P0</v>
      </c>
      <c r="C40" s="35" t="s">
        <v>35</v>
      </c>
      <c r="D40" s="35" t="s">
        <v>36</v>
      </c>
      <c r="E40" s="36" t="s">
        <v>190</v>
      </c>
      <c r="F40" s="36" t="s">
        <v>199</v>
      </c>
      <c r="G40" s="36" t="s">
        <v>200</v>
      </c>
      <c r="H40" s="36" t="s">
        <v>40</v>
      </c>
      <c r="I40" s="36" t="s">
        <v>41</v>
      </c>
      <c r="J40" s="37" t="s">
        <v>83</v>
      </c>
      <c r="K40" s="37"/>
      <c r="L40" s="38"/>
      <c r="M40" s="39" t="s">
        <v>119</v>
      </c>
      <c r="N40" s="36" t="s">
        <v>197</v>
      </c>
      <c r="O40" s="37">
        <v>46332</v>
      </c>
      <c r="P40" s="37">
        <v>46332</v>
      </c>
      <c r="Q40" s="37">
        <v>46177</v>
      </c>
      <c r="R40" s="37"/>
      <c r="S40" s="40">
        <v>500</v>
      </c>
      <c r="T40" s="41"/>
      <c r="U40" s="42">
        <v>6.3</v>
      </c>
      <c r="V40" s="42"/>
      <c r="W40" s="42"/>
      <c r="X40" s="40"/>
      <c r="Y40" s="21">
        <v>46059</v>
      </c>
      <c r="Z40" s="22">
        <v>46077</v>
      </c>
      <c r="AA40" s="22">
        <v>46078</v>
      </c>
      <c r="AB40" s="23"/>
      <c r="AC40" s="21"/>
      <c r="AD40" s="24" t="s">
        <v>201</v>
      </c>
      <c r="AE40" s="21">
        <v>46059</v>
      </c>
      <c r="AF40" s="21">
        <v>46120</v>
      </c>
      <c r="AG40" s="23"/>
      <c r="AH40" s="23"/>
    </row>
    <row r="41" spans="1:34" ht="14.25">
      <c r="A41" s="11" t="s">
        <v>34</v>
      </c>
      <c r="B41" s="34" t="str">
        <f t="shared" si="0"/>
        <v>SS27P0</v>
      </c>
      <c r="C41" s="35" t="s">
        <v>35</v>
      </c>
      <c r="D41" s="35" t="s">
        <v>36</v>
      </c>
      <c r="E41" s="36" t="s">
        <v>190</v>
      </c>
      <c r="F41" s="36" t="s">
        <v>202</v>
      </c>
      <c r="G41" s="36" t="s">
        <v>203</v>
      </c>
      <c r="H41" s="36" t="s">
        <v>40</v>
      </c>
      <c r="I41" s="36" t="s">
        <v>41</v>
      </c>
      <c r="J41" s="37" t="s">
        <v>83</v>
      </c>
      <c r="K41" s="37"/>
      <c r="L41" s="38" t="s">
        <v>171</v>
      </c>
      <c r="M41" s="39" t="s">
        <v>204</v>
      </c>
      <c r="N41" s="36" t="s">
        <v>126</v>
      </c>
      <c r="O41" s="37">
        <v>46332</v>
      </c>
      <c r="P41" s="37">
        <v>46332</v>
      </c>
      <c r="Q41" s="37">
        <v>46177</v>
      </c>
      <c r="R41" s="37"/>
      <c r="S41" s="40">
        <v>4500</v>
      </c>
      <c r="T41" s="41"/>
      <c r="U41" s="42">
        <v>6.7</v>
      </c>
      <c r="V41" s="42"/>
      <c r="W41" s="42"/>
      <c r="X41" s="40"/>
      <c r="Y41" s="21">
        <v>46087</v>
      </c>
      <c r="Z41" s="22">
        <v>46150</v>
      </c>
      <c r="AA41" s="22">
        <v>46150</v>
      </c>
      <c r="AB41" s="23"/>
      <c r="AC41" s="21"/>
      <c r="AD41" s="24" t="s">
        <v>205</v>
      </c>
      <c r="AE41" s="21">
        <v>46059</v>
      </c>
      <c r="AF41" s="21">
        <v>46125</v>
      </c>
      <c r="AG41" s="23"/>
      <c r="AH41" s="23"/>
    </row>
    <row r="42" spans="1:34" ht="14.25">
      <c r="A42" s="11" t="s">
        <v>34</v>
      </c>
      <c r="B42" s="34" t="str">
        <f t="shared" si="0"/>
        <v>SS27P0</v>
      </c>
      <c r="C42" s="35" t="s">
        <v>35</v>
      </c>
      <c r="D42" s="35" t="s">
        <v>36</v>
      </c>
      <c r="E42" s="36" t="s">
        <v>190</v>
      </c>
      <c r="F42" s="36" t="s">
        <v>206</v>
      </c>
      <c r="G42" s="36" t="s">
        <v>207</v>
      </c>
      <c r="H42" s="36" t="s">
        <v>40</v>
      </c>
      <c r="I42" s="36" t="s">
        <v>41</v>
      </c>
      <c r="J42" s="37" t="s">
        <v>83</v>
      </c>
      <c r="K42" s="37" t="s">
        <v>54</v>
      </c>
      <c r="L42" s="38" t="s">
        <v>43</v>
      </c>
      <c r="M42" s="39" t="s">
        <v>55</v>
      </c>
      <c r="N42" s="36" t="s">
        <v>188</v>
      </c>
      <c r="O42" s="37">
        <v>46332</v>
      </c>
      <c r="P42" s="37">
        <v>46332</v>
      </c>
      <c r="Q42" s="37">
        <v>46177</v>
      </c>
      <c r="R42" s="37"/>
      <c r="S42" s="40">
        <f>10000+8000</f>
        <v>18000</v>
      </c>
      <c r="T42" s="41"/>
      <c r="U42" s="42">
        <v>8.0500000000000007</v>
      </c>
      <c r="V42" s="42"/>
      <c r="W42" s="42"/>
      <c r="X42" s="40"/>
      <c r="Y42" s="21">
        <v>46087</v>
      </c>
      <c r="Z42" s="22">
        <v>46114</v>
      </c>
      <c r="AA42" s="22">
        <v>46115</v>
      </c>
      <c r="AB42" s="23"/>
      <c r="AC42" s="21">
        <v>46108</v>
      </c>
      <c r="AD42" s="24" t="s">
        <v>208</v>
      </c>
      <c r="AE42" s="21">
        <v>46059</v>
      </c>
      <c r="AF42" s="21">
        <v>46097</v>
      </c>
      <c r="AG42" s="23"/>
      <c r="AH42" s="23"/>
    </row>
    <row r="43" spans="1:34" ht="14.25">
      <c r="A43" s="11" t="s">
        <v>34</v>
      </c>
      <c r="B43" s="34" t="str">
        <f t="shared" si="0"/>
        <v>SS27P0</v>
      </c>
      <c r="C43" s="35" t="s">
        <v>35</v>
      </c>
      <c r="D43" s="35" t="s">
        <v>36</v>
      </c>
      <c r="E43" s="36" t="s">
        <v>209</v>
      </c>
      <c r="F43" s="36" t="s">
        <v>210</v>
      </c>
      <c r="G43" s="36" t="s">
        <v>211</v>
      </c>
      <c r="H43" s="36" t="s">
        <v>51</v>
      </c>
      <c r="I43" s="36" t="s">
        <v>52</v>
      </c>
      <c r="J43" s="37" t="s">
        <v>83</v>
      </c>
      <c r="K43" s="37"/>
      <c r="L43" s="38"/>
      <c r="M43" s="39" t="s">
        <v>119</v>
      </c>
      <c r="N43" s="36" t="s">
        <v>212</v>
      </c>
      <c r="O43" s="37">
        <v>46332</v>
      </c>
      <c r="P43" s="37">
        <v>46332</v>
      </c>
      <c r="Q43" s="37">
        <v>46191</v>
      </c>
      <c r="R43" s="37"/>
      <c r="S43" s="40">
        <v>3300</v>
      </c>
      <c r="T43" s="41"/>
      <c r="U43" s="42">
        <v>4.3</v>
      </c>
      <c r="V43" s="42"/>
      <c r="W43" s="42"/>
      <c r="X43" s="40"/>
      <c r="Y43" s="21">
        <v>46108</v>
      </c>
      <c r="Z43" s="22" t="s">
        <v>46</v>
      </c>
      <c r="AA43" s="22"/>
      <c r="AB43" s="23"/>
      <c r="AC43" s="21"/>
      <c r="AD43" s="24" t="s">
        <v>213</v>
      </c>
      <c r="AE43" s="21">
        <v>46091</v>
      </c>
      <c r="AF43" s="21">
        <v>46120</v>
      </c>
      <c r="AG43" s="23"/>
      <c r="AH43" s="23"/>
    </row>
    <row r="44" spans="1:34" ht="14.25">
      <c r="A44" s="11" t="s">
        <v>34</v>
      </c>
      <c r="B44" s="34" t="str">
        <f t="shared" si="0"/>
        <v>SS27P0</v>
      </c>
      <c r="C44" s="35" t="s">
        <v>35</v>
      </c>
      <c r="D44" s="35" t="s">
        <v>36</v>
      </c>
      <c r="E44" s="36" t="s">
        <v>209</v>
      </c>
      <c r="F44" s="36" t="s">
        <v>214</v>
      </c>
      <c r="G44" s="36" t="s">
        <v>215</v>
      </c>
      <c r="H44" s="36" t="s">
        <v>51</v>
      </c>
      <c r="I44" s="36" t="s">
        <v>52</v>
      </c>
      <c r="J44" s="37" t="s">
        <v>83</v>
      </c>
      <c r="K44" s="37"/>
      <c r="L44" s="38"/>
      <c r="M44" s="39" t="s">
        <v>55</v>
      </c>
      <c r="N44" s="36" t="s">
        <v>216</v>
      </c>
      <c r="O44" s="37">
        <v>46332</v>
      </c>
      <c r="P44" s="37">
        <v>46332</v>
      </c>
      <c r="Q44" s="37">
        <v>46191</v>
      </c>
      <c r="R44" s="37"/>
      <c r="S44" s="40">
        <v>5900</v>
      </c>
      <c r="T44" s="41"/>
      <c r="U44" s="42">
        <v>4.75</v>
      </c>
      <c r="V44" s="42"/>
      <c r="W44" s="42"/>
      <c r="X44" s="40"/>
      <c r="Y44" s="21">
        <v>46099</v>
      </c>
      <c r="Z44" s="22">
        <v>46115</v>
      </c>
      <c r="AA44" s="22">
        <v>46113</v>
      </c>
      <c r="AB44" s="23"/>
      <c r="AC44" s="21">
        <v>46108</v>
      </c>
      <c r="AD44" s="24" t="s">
        <v>85</v>
      </c>
      <c r="AE44" s="21">
        <v>46091</v>
      </c>
      <c r="AF44" s="21">
        <v>46097</v>
      </c>
      <c r="AG44" s="23"/>
      <c r="AH44" s="23"/>
    </row>
    <row r="45" spans="1:34" ht="14.25">
      <c r="A45" s="11" t="s">
        <v>34</v>
      </c>
      <c r="B45" s="34" t="str">
        <f t="shared" si="0"/>
        <v>SS27P0</v>
      </c>
      <c r="C45" s="35" t="s">
        <v>35</v>
      </c>
      <c r="D45" s="35" t="s">
        <v>36</v>
      </c>
      <c r="E45" s="36" t="s">
        <v>209</v>
      </c>
      <c r="F45" s="36" t="s">
        <v>217</v>
      </c>
      <c r="G45" s="36" t="s">
        <v>218</v>
      </c>
      <c r="H45" s="36" t="s">
        <v>51</v>
      </c>
      <c r="I45" s="36" t="s">
        <v>52</v>
      </c>
      <c r="J45" s="37" t="s">
        <v>83</v>
      </c>
      <c r="K45" s="37" t="s">
        <v>54</v>
      </c>
      <c r="L45" s="38" t="s">
        <v>171</v>
      </c>
      <c r="M45" s="39" t="s">
        <v>55</v>
      </c>
      <c r="N45" s="36" t="s">
        <v>70</v>
      </c>
      <c r="O45" s="37">
        <v>46332</v>
      </c>
      <c r="P45" s="37">
        <v>46332</v>
      </c>
      <c r="Q45" s="37">
        <v>46191</v>
      </c>
      <c r="R45" s="37"/>
      <c r="S45" s="40">
        <v>4700</v>
      </c>
      <c r="T45" s="41"/>
      <c r="U45" s="42">
        <v>6.25</v>
      </c>
      <c r="V45" s="42"/>
      <c r="W45" s="42"/>
      <c r="X45" s="40"/>
      <c r="Y45" s="21">
        <v>46099</v>
      </c>
      <c r="Z45" s="22">
        <v>46126</v>
      </c>
      <c r="AA45" s="22">
        <v>46127</v>
      </c>
      <c r="AB45" s="23"/>
      <c r="AC45" s="21"/>
      <c r="AD45" s="24" t="s">
        <v>57</v>
      </c>
      <c r="AE45" s="21">
        <v>46091</v>
      </c>
      <c r="AF45" s="21">
        <v>46097</v>
      </c>
      <c r="AG45" s="23"/>
      <c r="AH45" s="23"/>
    </row>
    <row r="46" spans="1:34" ht="14.25">
      <c r="A46" s="11" t="s">
        <v>34</v>
      </c>
      <c r="B46" s="34" t="str">
        <f t="shared" si="0"/>
        <v>SS27P0</v>
      </c>
      <c r="C46" s="35" t="s">
        <v>35</v>
      </c>
      <c r="D46" s="35" t="s">
        <v>36</v>
      </c>
      <c r="E46" s="36" t="s">
        <v>209</v>
      </c>
      <c r="F46" s="36" t="s">
        <v>219</v>
      </c>
      <c r="G46" s="36" t="s">
        <v>220</v>
      </c>
      <c r="H46" s="36" t="s">
        <v>51</v>
      </c>
      <c r="I46" s="36" t="s">
        <v>221</v>
      </c>
      <c r="J46" s="37" t="s">
        <v>83</v>
      </c>
      <c r="K46" s="37"/>
      <c r="L46" s="38"/>
      <c r="M46" s="39" t="s">
        <v>222</v>
      </c>
      <c r="N46" s="36" t="s">
        <v>216</v>
      </c>
      <c r="O46" s="37">
        <v>46332</v>
      </c>
      <c r="P46" s="37">
        <v>46332</v>
      </c>
      <c r="Q46" s="37">
        <v>46191</v>
      </c>
      <c r="R46" s="37"/>
      <c r="S46" s="40">
        <v>7000</v>
      </c>
      <c r="T46" s="41"/>
      <c r="U46" s="42">
        <v>3.4</v>
      </c>
      <c r="V46" s="42"/>
      <c r="W46" s="42"/>
      <c r="X46" s="40"/>
      <c r="Y46" s="21">
        <v>46099</v>
      </c>
      <c r="Z46" s="22">
        <v>46142</v>
      </c>
      <c r="AA46" s="22">
        <v>46141</v>
      </c>
      <c r="AB46" s="23"/>
      <c r="AC46" s="21">
        <v>46108</v>
      </c>
      <c r="AD46" s="24" t="s">
        <v>173</v>
      </c>
      <c r="AE46" s="21">
        <v>46091</v>
      </c>
      <c r="AF46" s="21">
        <v>46125</v>
      </c>
      <c r="AG46" s="23"/>
      <c r="AH46" s="23"/>
    </row>
    <row r="47" spans="1:34" ht="14.25">
      <c r="A47" s="11" t="s">
        <v>34</v>
      </c>
      <c r="B47" s="22" t="str">
        <f>CONCATENATE(C47,D47)</f>
        <v>SS27P0</v>
      </c>
      <c r="C47" s="22" t="s">
        <v>35</v>
      </c>
      <c r="D47" s="22" t="s">
        <v>36</v>
      </c>
      <c r="E47" s="22" t="s">
        <v>37</v>
      </c>
      <c r="F47" s="51" t="s">
        <v>223</v>
      </c>
      <c r="G47" s="22" t="s">
        <v>224</v>
      </c>
      <c r="H47" s="22" t="s">
        <v>51</v>
      </c>
      <c r="I47" s="22" t="s">
        <v>52</v>
      </c>
      <c r="J47" s="22" t="s">
        <v>225</v>
      </c>
      <c r="K47" s="44"/>
      <c r="L47" s="44"/>
      <c r="M47" s="22" t="s">
        <v>44</v>
      </c>
      <c r="N47" s="22" t="s">
        <v>226</v>
      </c>
      <c r="O47" s="22">
        <v>46332</v>
      </c>
      <c r="P47" s="22"/>
      <c r="Q47" s="22"/>
      <c r="R47" s="22"/>
      <c r="S47" s="52">
        <v>6000</v>
      </c>
      <c r="T47" s="52"/>
      <c r="U47" s="22"/>
      <c r="V47" s="22"/>
      <c r="W47" s="22"/>
      <c r="X47" s="22"/>
      <c r="Y47" s="22" t="s">
        <v>42</v>
      </c>
      <c r="Z47" s="22" t="s">
        <v>46</v>
      </c>
      <c r="AA47" s="22"/>
      <c r="AB47" s="22"/>
      <c r="AC47" s="22"/>
      <c r="AD47" s="22" t="s">
        <v>213</v>
      </c>
      <c r="AE47" s="22">
        <v>46147</v>
      </c>
      <c r="AF47" s="22">
        <v>46153</v>
      </c>
      <c r="AG47" s="23"/>
      <c r="AH47" s="23"/>
    </row>
    <row r="48" spans="1:34" ht="14.25">
      <c r="A48" s="11" t="s">
        <v>34</v>
      </c>
      <c r="B48" s="23" t="str">
        <f t="shared" ref="B48" si="1">CONCATENATE(C48,D48)</f>
        <v>SS27P0</v>
      </c>
      <c r="C48" s="23" t="s">
        <v>35</v>
      </c>
      <c r="D48" s="23" t="s">
        <v>36</v>
      </c>
      <c r="E48" s="53" t="s">
        <v>37</v>
      </c>
      <c r="F48" s="51" t="s">
        <v>227</v>
      </c>
      <c r="G48" s="22" t="s">
        <v>228</v>
      </c>
      <c r="H48" s="22" t="s">
        <v>40</v>
      </c>
      <c r="I48" s="22" t="s">
        <v>41</v>
      </c>
      <c r="J48" s="22" t="s">
        <v>229</v>
      </c>
      <c r="K48" s="44"/>
      <c r="L48" s="44"/>
      <c r="M48" s="22" t="s">
        <v>44</v>
      </c>
      <c r="N48" s="23" t="s">
        <v>230</v>
      </c>
      <c r="O48" s="46">
        <v>46332</v>
      </c>
      <c r="P48" s="22"/>
      <c r="Q48" s="22"/>
      <c r="R48" s="22"/>
      <c r="S48" s="47">
        <v>5500</v>
      </c>
      <c r="T48" s="48"/>
      <c r="U48" s="49"/>
      <c r="V48" s="49"/>
      <c r="W48" s="49"/>
      <c r="X48" s="50"/>
      <c r="Y48" s="22" t="s">
        <v>46</v>
      </c>
      <c r="Z48" s="22" t="s">
        <v>46</v>
      </c>
      <c r="AA48" s="22"/>
      <c r="AB48" s="22"/>
      <c r="AC48" s="22"/>
      <c r="AD48" s="22" t="s">
        <v>47</v>
      </c>
      <c r="AE48" s="22">
        <v>46140</v>
      </c>
      <c r="AF48" s="22">
        <v>46153</v>
      </c>
      <c r="AG48" s="22"/>
      <c r="AH48" s="22"/>
    </row>
    <row r="49" spans="1:34" ht="14.25">
      <c r="A49" s="11" t="s">
        <v>34</v>
      </c>
      <c r="B49" s="34" t="str">
        <f t="shared" si="0"/>
        <v>SS27P1</v>
      </c>
      <c r="C49" s="35" t="s">
        <v>35</v>
      </c>
      <c r="D49" s="35" t="s">
        <v>231</v>
      </c>
      <c r="E49" s="36" t="s">
        <v>37</v>
      </c>
      <c r="F49" s="36" t="s">
        <v>232</v>
      </c>
      <c r="G49" s="36" t="s">
        <v>233</v>
      </c>
      <c r="H49" s="36" t="s">
        <v>40</v>
      </c>
      <c r="I49" s="36" t="s">
        <v>41</v>
      </c>
      <c r="J49" s="37" t="s">
        <v>83</v>
      </c>
      <c r="K49" s="37" t="s">
        <v>54</v>
      </c>
      <c r="L49" s="38" t="s">
        <v>43</v>
      </c>
      <c r="M49" s="39" t="s">
        <v>55</v>
      </c>
      <c r="N49" s="36" t="s">
        <v>84</v>
      </c>
      <c r="O49" s="37">
        <v>46339</v>
      </c>
      <c r="P49" s="37"/>
      <c r="Q49" s="37"/>
      <c r="R49" s="37"/>
      <c r="S49" s="40">
        <v>3000</v>
      </c>
      <c r="T49" s="41"/>
      <c r="U49" s="42"/>
      <c r="V49" s="42"/>
      <c r="W49" s="42"/>
      <c r="X49" s="40"/>
      <c r="Y49" s="21">
        <v>46098</v>
      </c>
      <c r="Z49" s="22">
        <v>46113</v>
      </c>
      <c r="AA49" s="22">
        <v>46113</v>
      </c>
      <c r="AB49" s="23"/>
      <c r="AC49" s="21">
        <v>46112</v>
      </c>
      <c r="AD49" s="24" t="s">
        <v>85</v>
      </c>
      <c r="AE49" s="21">
        <v>46087</v>
      </c>
      <c r="AF49" s="21">
        <v>46097</v>
      </c>
      <c r="AG49" s="23"/>
      <c r="AH49" s="23"/>
    </row>
    <row r="50" spans="1:34" ht="14.25">
      <c r="A50" s="11" t="s">
        <v>34</v>
      </c>
      <c r="B50" s="34" t="str">
        <f t="shared" si="0"/>
        <v>SS27P1</v>
      </c>
      <c r="C50" s="35" t="s">
        <v>35</v>
      </c>
      <c r="D50" s="35" t="s">
        <v>231</v>
      </c>
      <c r="E50" s="36" t="s">
        <v>37</v>
      </c>
      <c r="F50" s="36" t="s">
        <v>234</v>
      </c>
      <c r="G50" s="36" t="s">
        <v>235</v>
      </c>
      <c r="H50" s="36" t="s">
        <v>40</v>
      </c>
      <c r="I50" s="36" t="s">
        <v>41</v>
      </c>
      <c r="J50" s="37" t="s">
        <v>83</v>
      </c>
      <c r="K50" s="37" t="s">
        <v>54</v>
      </c>
      <c r="L50" s="38" t="s">
        <v>43</v>
      </c>
      <c r="M50" s="39" t="s">
        <v>55</v>
      </c>
      <c r="N50" s="36" t="s">
        <v>236</v>
      </c>
      <c r="O50" s="37">
        <v>46374</v>
      </c>
      <c r="P50" s="37">
        <v>46374</v>
      </c>
      <c r="Q50" s="37">
        <v>46233</v>
      </c>
      <c r="R50" s="37"/>
      <c r="S50" s="40">
        <v>9000</v>
      </c>
      <c r="T50" s="41"/>
      <c r="U50" s="42">
        <v>6.5</v>
      </c>
      <c r="V50" s="42"/>
      <c r="W50" s="42"/>
      <c r="X50" s="40"/>
      <c r="Y50" s="21">
        <v>46099</v>
      </c>
      <c r="Z50" s="22">
        <v>46126</v>
      </c>
      <c r="AA50" s="22">
        <v>46127</v>
      </c>
      <c r="AB50" s="23"/>
      <c r="AC50" s="21">
        <v>46121</v>
      </c>
      <c r="AD50" s="24" t="s">
        <v>57</v>
      </c>
      <c r="AE50" s="21">
        <v>46087</v>
      </c>
      <c r="AF50" s="21">
        <v>46097</v>
      </c>
      <c r="AG50" s="23"/>
      <c r="AH50" s="23"/>
    </row>
    <row r="51" spans="1:34" ht="14.25">
      <c r="A51" s="11" t="s">
        <v>34</v>
      </c>
      <c r="B51" s="43" t="str">
        <f t="shared" si="0"/>
        <v>SS27P1</v>
      </c>
      <c r="C51" s="24" t="s">
        <v>35</v>
      </c>
      <c r="D51" s="24" t="s">
        <v>231</v>
      </c>
      <c r="E51" s="53" t="s">
        <v>237</v>
      </c>
      <c r="F51" s="23" t="s">
        <v>238</v>
      </c>
      <c r="G51" s="23" t="s">
        <v>239</v>
      </c>
      <c r="H51" s="23" t="s">
        <v>108</v>
      </c>
      <c r="I51" s="23" t="s">
        <v>109</v>
      </c>
      <c r="J51" s="22" t="s">
        <v>229</v>
      </c>
      <c r="K51" s="22" t="s">
        <v>54</v>
      </c>
      <c r="L51" s="44" t="s">
        <v>43</v>
      </c>
      <c r="M51" s="45" t="s">
        <v>110</v>
      </c>
      <c r="N51" s="23" t="s">
        <v>240</v>
      </c>
      <c r="O51" s="22">
        <v>46346</v>
      </c>
      <c r="P51" s="22"/>
      <c r="Q51" s="22"/>
      <c r="R51" s="22"/>
      <c r="S51" s="47">
        <v>4500</v>
      </c>
      <c r="T51" s="48"/>
      <c r="U51" s="49"/>
      <c r="V51" s="49"/>
      <c r="W51" s="49"/>
      <c r="X51" s="50"/>
      <c r="Y51" s="21">
        <v>46101</v>
      </c>
      <c r="Z51" s="22">
        <v>46171</v>
      </c>
      <c r="AA51" s="22"/>
      <c r="AB51" s="23"/>
      <c r="AC51" s="23"/>
      <c r="AD51" s="24" t="s">
        <v>241</v>
      </c>
      <c r="AE51" s="21">
        <v>46091</v>
      </c>
      <c r="AF51" s="21">
        <v>46129</v>
      </c>
      <c r="AG51" s="23"/>
      <c r="AH51" s="23"/>
    </row>
    <row r="52" spans="1:34" ht="14.25">
      <c r="A52" s="11" t="s">
        <v>34</v>
      </c>
      <c r="B52" s="43" t="str">
        <f t="shared" si="0"/>
        <v>SS27P1</v>
      </c>
      <c r="C52" s="24" t="s">
        <v>35</v>
      </c>
      <c r="D52" s="24" t="s">
        <v>231</v>
      </c>
      <c r="E52" s="23" t="s">
        <v>237</v>
      </c>
      <c r="F52" s="23" t="s">
        <v>242</v>
      </c>
      <c r="G52" s="23" t="s">
        <v>243</v>
      </c>
      <c r="H52" s="23" t="s">
        <v>108</v>
      </c>
      <c r="I52" s="23" t="s">
        <v>244</v>
      </c>
      <c r="J52" s="22" t="s">
        <v>245</v>
      </c>
      <c r="K52" s="22" t="s">
        <v>54</v>
      </c>
      <c r="L52" s="23" t="s">
        <v>43</v>
      </c>
      <c r="M52" s="45" t="s">
        <v>222</v>
      </c>
      <c r="N52" s="23" t="s">
        <v>246</v>
      </c>
      <c r="O52" s="22">
        <v>46346</v>
      </c>
      <c r="P52" s="22"/>
      <c r="Q52" s="22"/>
      <c r="R52" s="22"/>
      <c r="S52" s="47">
        <v>5000</v>
      </c>
      <c r="T52" s="48"/>
      <c r="U52" s="49"/>
      <c r="V52" s="49"/>
      <c r="W52" s="49"/>
      <c r="X52" s="50"/>
      <c r="Y52" s="21">
        <v>46136</v>
      </c>
      <c r="Z52" s="22">
        <v>46164</v>
      </c>
      <c r="AA52" s="22">
        <v>46164</v>
      </c>
      <c r="AB52" s="23"/>
      <c r="AC52" s="23"/>
      <c r="AD52" s="24" t="s">
        <v>247</v>
      </c>
      <c r="AE52" s="21">
        <v>46108</v>
      </c>
      <c r="AF52" s="21">
        <v>46129</v>
      </c>
      <c r="AG52" s="23"/>
      <c r="AH52" s="23"/>
    </row>
    <row r="53" spans="1:34" ht="14.25">
      <c r="A53" s="11" t="s">
        <v>34</v>
      </c>
      <c r="B53" s="43" t="str">
        <f t="shared" si="0"/>
        <v>SS27P1</v>
      </c>
      <c r="C53" s="24" t="s">
        <v>35</v>
      </c>
      <c r="D53" s="24" t="s">
        <v>231</v>
      </c>
      <c r="E53" s="23" t="s">
        <v>237</v>
      </c>
      <c r="F53" s="23" t="s">
        <v>248</v>
      </c>
      <c r="G53" s="23" t="s">
        <v>249</v>
      </c>
      <c r="H53" s="23" t="s">
        <v>108</v>
      </c>
      <c r="I53" s="23" t="s">
        <v>109</v>
      </c>
      <c r="J53" s="22" t="s">
        <v>245</v>
      </c>
      <c r="K53" s="22" t="s">
        <v>54</v>
      </c>
      <c r="L53" s="23" t="s">
        <v>43</v>
      </c>
      <c r="M53" s="45" t="s">
        <v>110</v>
      </c>
      <c r="N53" s="23" t="s">
        <v>250</v>
      </c>
      <c r="O53" s="22">
        <v>46346</v>
      </c>
      <c r="P53" s="22"/>
      <c r="Q53" s="22"/>
      <c r="R53" s="22"/>
      <c r="S53" s="47">
        <v>4500</v>
      </c>
      <c r="T53" s="48"/>
      <c r="U53" s="49"/>
      <c r="V53" s="49"/>
      <c r="W53" s="49"/>
      <c r="X53" s="50"/>
      <c r="Y53" s="21">
        <v>46136</v>
      </c>
      <c r="Z53" s="22">
        <v>46164</v>
      </c>
      <c r="AA53" s="22">
        <v>46164</v>
      </c>
      <c r="AB53" s="23"/>
      <c r="AC53" s="23"/>
      <c r="AD53" s="24" t="s">
        <v>251</v>
      </c>
      <c r="AE53" s="21">
        <v>46108</v>
      </c>
      <c r="AF53" s="21">
        <v>46129</v>
      </c>
      <c r="AG53" s="23"/>
      <c r="AH53" s="23"/>
    </row>
    <row r="54" spans="1:34" ht="14.25">
      <c r="A54" s="11" t="s">
        <v>34</v>
      </c>
      <c r="B54" s="43" t="str">
        <f t="shared" si="0"/>
        <v>SS27P1</v>
      </c>
      <c r="C54" s="24" t="s">
        <v>35</v>
      </c>
      <c r="D54" s="24" t="s">
        <v>231</v>
      </c>
      <c r="E54" s="23" t="s">
        <v>237</v>
      </c>
      <c r="F54" s="23" t="s">
        <v>252</v>
      </c>
      <c r="G54" s="23" t="s">
        <v>253</v>
      </c>
      <c r="H54" s="23" t="s">
        <v>108</v>
      </c>
      <c r="I54" s="23" t="s">
        <v>109</v>
      </c>
      <c r="J54" s="22" t="s">
        <v>245</v>
      </c>
      <c r="K54" s="22" t="s">
        <v>54</v>
      </c>
      <c r="L54" s="23" t="s">
        <v>43</v>
      </c>
      <c r="M54" s="45" t="s">
        <v>110</v>
      </c>
      <c r="N54" s="23" t="s">
        <v>240</v>
      </c>
      <c r="O54" s="22">
        <v>46346</v>
      </c>
      <c r="P54" s="22"/>
      <c r="Q54" s="22"/>
      <c r="R54" s="22"/>
      <c r="S54" s="47">
        <v>4500</v>
      </c>
      <c r="T54" s="48"/>
      <c r="U54" s="49"/>
      <c r="V54" s="49"/>
      <c r="W54" s="49"/>
      <c r="X54" s="50"/>
      <c r="Y54" s="21">
        <v>46090</v>
      </c>
      <c r="Z54" s="22">
        <v>46171</v>
      </c>
      <c r="AA54" s="22"/>
      <c r="AB54" s="23"/>
      <c r="AC54" s="23"/>
      <c r="AD54" s="24" t="s">
        <v>254</v>
      </c>
      <c r="AE54" s="21">
        <v>46108</v>
      </c>
      <c r="AF54" s="21">
        <v>46129</v>
      </c>
      <c r="AG54" s="23"/>
      <c r="AH54" s="23"/>
    </row>
    <row r="55" spans="1:34" ht="14.25">
      <c r="A55" s="11" t="s">
        <v>34</v>
      </c>
      <c r="B55" s="34" t="str">
        <f t="shared" si="0"/>
        <v>SS27P1</v>
      </c>
      <c r="C55" s="35" t="s">
        <v>35</v>
      </c>
      <c r="D55" s="35" t="s">
        <v>231</v>
      </c>
      <c r="E55" s="36" t="s">
        <v>255</v>
      </c>
      <c r="F55" s="36" t="s">
        <v>256</v>
      </c>
      <c r="G55" s="36" t="s">
        <v>257</v>
      </c>
      <c r="H55" s="36" t="s">
        <v>51</v>
      </c>
      <c r="I55" s="36" t="s">
        <v>52</v>
      </c>
      <c r="J55" s="37" t="s">
        <v>83</v>
      </c>
      <c r="K55" s="37"/>
      <c r="L55" s="38"/>
      <c r="M55" s="39" t="s">
        <v>119</v>
      </c>
      <c r="N55" s="36" t="s">
        <v>258</v>
      </c>
      <c r="O55" s="37">
        <v>46346</v>
      </c>
      <c r="P55" s="37">
        <v>46346</v>
      </c>
      <c r="Q55" s="37">
        <v>46205</v>
      </c>
      <c r="R55" s="37"/>
      <c r="S55" s="40">
        <v>6500</v>
      </c>
      <c r="T55" s="41"/>
      <c r="U55" s="42">
        <v>5.65</v>
      </c>
      <c r="V55" s="42"/>
      <c r="W55" s="42"/>
      <c r="X55" s="40"/>
      <c r="Y55" s="21">
        <v>46115</v>
      </c>
      <c r="Z55" s="22" t="s">
        <v>46</v>
      </c>
      <c r="AA55" s="22"/>
      <c r="AB55" s="23"/>
      <c r="AC55" s="21"/>
      <c r="AD55" s="24" t="s">
        <v>213</v>
      </c>
      <c r="AE55" s="21">
        <v>46114</v>
      </c>
      <c r="AF55" s="21">
        <v>46120</v>
      </c>
      <c r="AG55" s="23"/>
      <c r="AH55" s="23"/>
    </row>
    <row r="56" spans="1:34" ht="14.25">
      <c r="A56" s="11" t="s">
        <v>34</v>
      </c>
      <c r="B56" s="43" t="str">
        <f t="shared" si="0"/>
        <v>SS27P1</v>
      </c>
      <c r="C56" s="24" t="s">
        <v>35</v>
      </c>
      <c r="D56" s="24" t="s">
        <v>231</v>
      </c>
      <c r="E56" s="23" t="s">
        <v>255</v>
      </c>
      <c r="F56" s="23" t="s">
        <v>259</v>
      </c>
      <c r="G56" s="23" t="s">
        <v>260</v>
      </c>
      <c r="H56" s="23" t="s">
        <v>51</v>
      </c>
      <c r="I56" s="23" t="s">
        <v>52</v>
      </c>
      <c r="J56" s="22" t="s">
        <v>229</v>
      </c>
      <c r="K56" s="22" t="s">
        <v>54</v>
      </c>
      <c r="L56" s="23" t="s">
        <v>43</v>
      </c>
      <c r="M56" s="45" t="s">
        <v>55</v>
      </c>
      <c r="N56" s="23" t="s">
        <v>261</v>
      </c>
      <c r="O56" s="22">
        <v>46346</v>
      </c>
      <c r="P56" s="22"/>
      <c r="Q56" s="22"/>
      <c r="R56" s="22"/>
      <c r="S56" s="47"/>
      <c r="T56" s="48"/>
      <c r="U56" s="49"/>
      <c r="V56" s="49"/>
      <c r="W56" s="49"/>
      <c r="X56" s="50"/>
      <c r="Y56" s="21">
        <v>46154</v>
      </c>
      <c r="Z56" s="22">
        <v>46171</v>
      </c>
      <c r="AA56" s="22"/>
      <c r="AB56" s="23"/>
      <c r="AC56" s="23"/>
      <c r="AD56" s="24" t="s">
        <v>262</v>
      </c>
      <c r="AE56" s="21">
        <v>46114</v>
      </c>
      <c r="AF56" s="21">
        <v>46126</v>
      </c>
      <c r="AG56" s="23"/>
      <c r="AH56" s="23"/>
    </row>
    <row r="57" spans="1:34" ht="17.25" customHeight="1">
      <c r="A57" s="11" t="s">
        <v>34</v>
      </c>
      <c r="B57" s="43" t="str">
        <f t="shared" si="0"/>
        <v>SS27P1</v>
      </c>
      <c r="C57" s="24" t="s">
        <v>35</v>
      </c>
      <c r="D57" s="24" t="s">
        <v>231</v>
      </c>
      <c r="E57" s="23" t="s">
        <v>255</v>
      </c>
      <c r="F57" s="23" t="s">
        <v>263</v>
      </c>
      <c r="G57" s="53" t="s">
        <v>264</v>
      </c>
      <c r="H57" s="23" t="s">
        <v>51</v>
      </c>
      <c r="I57" s="23" t="s">
        <v>52</v>
      </c>
      <c r="J57" s="22" t="s">
        <v>245</v>
      </c>
      <c r="K57" s="22" t="s">
        <v>54</v>
      </c>
      <c r="L57" s="23" t="s">
        <v>171</v>
      </c>
      <c r="M57" s="45" t="s">
        <v>130</v>
      </c>
      <c r="N57" s="23" t="s">
        <v>265</v>
      </c>
      <c r="O57" s="22">
        <v>46346</v>
      </c>
      <c r="P57" s="22"/>
      <c r="Q57" s="22"/>
      <c r="R57" s="22"/>
      <c r="S57" s="47"/>
      <c r="T57" s="48"/>
      <c r="U57" s="49"/>
      <c r="V57" s="49"/>
      <c r="W57" s="49"/>
      <c r="X57" s="50"/>
      <c r="Y57" s="21">
        <v>46160</v>
      </c>
      <c r="Z57" s="22">
        <v>46171</v>
      </c>
      <c r="AA57" s="22"/>
      <c r="AB57" s="23"/>
      <c r="AC57" s="23"/>
      <c r="AD57" s="24" t="s">
        <v>262</v>
      </c>
      <c r="AE57" s="21">
        <v>46114</v>
      </c>
      <c r="AF57" s="21">
        <v>46126</v>
      </c>
      <c r="AG57" s="23"/>
      <c r="AH57" s="23"/>
    </row>
    <row r="58" spans="1:34" ht="14.25">
      <c r="A58" s="11" t="s">
        <v>34</v>
      </c>
      <c r="B58" s="43" t="str">
        <f t="shared" si="0"/>
        <v>SS27P1</v>
      </c>
      <c r="C58" s="24" t="s">
        <v>35</v>
      </c>
      <c r="D58" s="24" t="s">
        <v>231</v>
      </c>
      <c r="E58" s="53" t="s">
        <v>255</v>
      </c>
      <c r="F58" s="23" t="s">
        <v>266</v>
      </c>
      <c r="G58" s="23" t="s">
        <v>267</v>
      </c>
      <c r="H58" s="23" t="s">
        <v>51</v>
      </c>
      <c r="I58" s="23" t="s">
        <v>52</v>
      </c>
      <c r="J58" s="22" t="s">
        <v>245</v>
      </c>
      <c r="K58" s="22"/>
      <c r="L58" s="23"/>
      <c r="M58" s="45" t="s">
        <v>268</v>
      </c>
      <c r="N58" s="23" t="s">
        <v>265</v>
      </c>
      <c r="O58" s="22">
        <v>46346</v>
      </c>
      <c r="P58" s="22"/>
      <c r="Q58" s="22"/>
      <c r="R58" s="22"/>
      <c r="S58" s="47"/>
      <c r="T58" s="48"/>
      <c r="U58" s="49"/>
      <c r="V58" s="49"/>
      <c r="W58" s="49"/>
      <c r="X58" s="50"/>
      <c r="Y58" s="21">
        <v>46160</v>
      </c>
      <c r="Z58" s="22">
        <v>46171</v>
      </c>
      <c r="AA58" s="22"/>
      <c r="AB58" s="23"/>
      <c r="AC58" s="23"/>
      <c r="AD58" s="24" t="s">
        <v>262</v>
      </c>
      <c r="AE58" s="21">
        <v>46115</v>
      </c>
      <c r="AF58" s="21">
        <v>46126</v>
      </c>
      <c r="AG58" s="23"/>
      <c r="AH58" s="23"/>
    </row>
    <row r="59" spans="1:34" ht="14.25">
      <c r="A59" s="11" t="s">
        <v>34</v>
      </c>
      <c r="B59" s="43" t="str">
        <f t="shared" si="0"/>
        <v>SS27P1</v>
      </c>
      <c r="C59" s="24" t="s">
        <v>35</v>
      </c>
      <c r="D59" s="24" t="s">
        <v>231</v>
      </c>
      <c r="E59" s="23" t="s">
        <v>269</v>
      </c>
      <c r="F59" s="23" t="s">
        <v>270</v>
      </c>
      <c r="G59" s="23" t="s">
        <v>271</v>
      </c>
      <c r="H59" s="23" t="s">
        <v>40</v>
      </c>
      <c r="I59" s="23" t="s">
        <v>41</v>
      </c>
      <c r="J59" s="22" t="s">
        <v>245</v>
      </c>
      <c r="K59" s="22" t="s">
        <v>54</v>
      </c>
      <c r="L59" s="23"/>
      <c r="M59" s="45" t="s">
        <v>272</v>
      </c>
      <c r="N59" s="23" t="s">
        <v>273</v>
      </c>
      <c r="O59" s="22">
        <v>46346</v>
      </c>
      <c r="P59" s="22"/>
      <c r="Q59" s="22"/>
      <c r="R59" s="22"/>
      <c r="S59" s="47">
        <v>4000</v>
      </c>
      <c r="T59" s="48"/>
      <c r="U59" s="49"/>
      <c r="V59" s="49"/>
      <c r="W59" s="49"/>
      <c r="X59" s="50"/>
      <c r="Y59" s="21">
        <v>46101</v>
      </c>
      <c r="Z59" s="22">
        <v>46142</v>
      </c>
      <c r="AA59" s="22">
        <v>46142</v>
      </c>
      <c r="AB59" s="23"/>
      <c r="AC59" s="23"/>
      <c r="AD59" s="24" t="s">
        <v>185</v>
      </c>
      <c r="AE59" s="21">
        <v>46114</v>
      </c>
      <c r="AF59" s="21">
        <v>46125</v>
      </c>
      <c r="AG59" s="23"/>
      <c r="AH59" s="23"/>
    </row>
    <row r="60" spans="1:34" ht="14.25">
      <c r="A60" s="11" t="s">
        <v>34</v>
      </c>
      <c r="B60" s="43" t="str">
        <f t="shared" si="0"/>
        <v>SS27P1</v>
      </c>
      <c r="C60" s="24" t="s">
        <v>35</v>
      </c>
      <c r="D60" s="24" t="s">
        <v>231</v>
      </c>
      <c r="E60" s="23" t="s">
        <v>269</v>
      </c>
      <c r="F60" s="23" t="s">
        <v>274</v>
      </c>
      <c r="G60" s="23" t="s">
        <v>275</v>
      </c>
      <c r="H60" s="23" t="s">
        <v>40</v>
      </c>
      <c r="I60" s="23" t="s">
        <v>41</v>
      </c>
      <c r="J60" s="22" t="s">
        <v>245</v>
      </c>
      <c r="K60" s="22"/>
      <c r="L60" s="23"/>
      <c r="M60" s="45" t="s">
        <v>119</v>
      </c>
      <c r="N60" s="23" t="s">
        <v>276</v>
      </c>
      <c r="O60" s="22">
        <v>46346</v>
      </c>
      <c r="P60" s="22"/>
      <c r="Q60" s="22"/>
      <c r="R60" s="22"/>
      <c r="S60" s="47">
        <v>4000</v>
      </c>
      <c r="T60" s="48"/>
      <c r="U60" s="49"/>
      <c r="V60" s="49"/>
      <c r="W60" s="49"/>
      <c r="X60" s="50"/>
      <c r="Y60" s="21">
        <v>46125</v>
      </c>
      <c r="Z60" s="22">
        <v>46154</v>
      </c>
      <c r="AA60" s="22">
        <v>46161</v>
      </c>
      <c r="AB60" s="23"/>
      <c r="AC60" s="23"/>
      <c r="AD60" s="24" t="s">
        <v>277</v>
      </c>
      <c r="AE60" s="21">
        <v>46114</v>
      </c>
      <c r="AF60" s="21">
        <v>46120</v>
      </c>
      <c r="AG60" s="23"/>
      <c r="AH60" s="23"/>
    </row>
    <row r="61" spans="1:34" ht="14.25">
      <c r="A61" s="11" t="s">
        <v>34</v>
      </c>
      <c r="B61" s="22" t="str">
        <f>CONCATENATE(C61,D61)</f>
        <v>SS27P1</v>
      </c>
      <c r="C61" s="22" t="s">
        <v>35</v>
      </c>
      <c r="D61" s="22" t="s">
        <v>231</v>
      </c>
      <c r="E61" s="22" t="s">
        <v>278</v>
      </c>
      <c r="F61" s="51" t="s">
        <v>279</v>
      </c>
      <c r="G61" s="22" t="s">
        <v>280</v>
      </c>
      <c r="H61" s="22" t="s">
        <v>51</v>
      </c>
      <c r="I61" s="22" t="s">
        <v>52</v>
      </c>
      <c r="J61" s="22" t="s">
        <v>225</v>
      </c>
      <c r="K61" s="44" t="s">
        <v>54</v>
      </c>
      <c r="L61" s="44"/>
      <c r="M61" s="22" t="s">
        <v>272</v>
      </c>
      <c r="N61" s="22" t="s">
        <v>281</v>
      </c>
      <c r="O61" s="22">
        <v>46360</v>
      </c>
      <c r="P61" s="22"/>
      <c r="Q61" s="22"/>
      <c r="R61" s="22"/>
      <c r="S61" s="52"/>
      <c r="T61" s="52"/>
      <c r="U61" s="22"/>
      <c r="V61" s="22"/>
      <c r="W61" s="22"/>
      <c r="X61" s="22"/>
      <c r="Y61" s="22">
        <v>46071</v>
      </c>
      <c r="Z61" s="22">
        <v>46177</v>
      </c>
      <c r="AA61" s="22"/>
      <c r="AB61" s="22"/>
      <c r="AC61" s="22"/>
      <c r="AD61" s="24" t="s">
        <v>282</v>
      </c>
      <c r="AE61" s="22">
        <v>46147</v>
      </c>
      <c r="AF61" s="22">
        <v>46154</v>
      </c>
      <c r="AG61" s="23"/>
      <c r="AH61" s="23"/>
    </row>
    <row r="62" spans="1:34" ht="14.25">
      <c r="A62" s="11" t="s">
        <v>34</v>
      </c>
      <c r="B62" s="22" t="str">
        <f>CONCATENATE(C62,D62)</f>
        <v>SS27P1</v>
      </c>
      <c r="C62" s="22" t="s">
        <v>35</v>
      </c>
      <c r="D62" s="22" t="s">
        <v>231</v>
      </c>
      <c r="E62" s="22" t="s">
        <v>278</v>
      </c>
      <c r="F62" s="51" t="s">
        <v>283</v>
      </c>
      <c r="G62" s="22" t="s">
        <v>284</v>
      </c>
      <c r="H62" s="22" t="s">
        <v>51</v>
      </c>
      <c r="I62" s="22" t="s">
        <v>52</v>
      </c>
      <c r="J62" s="22" t="s">
        <v>225</v>
      </c>
      <c r="K62" s="44" t="s">
        <v>54</v>
      </c>
      <c r="L62" s="44"/>
      <c r="M62" s="22" t="s">
        <v>272</v>
      </c>
      <c r="N62" s="22" t="s">
        <v>285</v>
      </c>
      <c r="O62" s="22">
        <v>46360</v>
      </c>
      <c r="P62" s="22"/>
      <c r="Q62" s="22"/>
      <c r="R62" s="22"/>
      <c r="S62" s="52"/>
      <c r="T62" s="52"/>
      <c r="U62" s="22"/>
      <c r="V62" s="22"/>
      <c r="W62" s="22"/>
      <c r="X62" s="22"/>
      <c r="Y62" s="22">
        <v>46171</v>
      </c>
      <c r="Z62" s="22">
        <v>46182</v>
      </c>
      <c r="AA62" s="22"/>
      <c r="AB62" s="22"/>
      <c r="AC62" s="22"/>
      <c r="AD62" s="24" t="s">
        <v>286</v>
      </c>
      <c r="AE62" s="22">
        <v>46147</v>
      </c>
      <c r="AF62" s="22">
        <v>46154</v>
      </c>
      <c r="AG62" s="23"/>
      <c r="AH62" s="23"/>
    </row>
    <row r="63" spans="1:34" ht="14.25">
      <c r="A63" s="11" t="s">
        <v>34</v>
      </c>
      <c r="B63" s="22" t="str">
        <f t="shared" ref="B63:B64" si="2">CONCATENATE(C63,D63)</f>
        <v>SS27P1</v>
      </c>
      <c r="C63" s="22" t="s">
        <v>35</v>
      </c>
      <c r="D63" s="22" t="s">
        <v>231</v>
      </c>
      <c r="E63" s="53" t="s">
        <v>278</v>
      </c>
      <c r="F63" s="51" t="s">
        <v>287</v>
      </c>
      <c r="G63" s="22" t="s">
        <v>288</v>
      </c>
      <c r="H63" s="22" t="s">
        <v>51</v>
      </c>
      <c r="I63" s="22" t="s">
        <v>52</v>
      </c>
      <c r="J63" s="22" t="s">
        <v>225</v>
      </c>
      <c r="K63" s="44" t="s">
        <v>54</v>
      </c>
      <c r="L63" s="44"/>
      <c r="M63" s="45" t="s">
        <v>110</v>
      </c>
      <c r="N63" s="22" t="s">
        <v>289</v>
      </c>
      <c r="O63" s="22">
        <v>46360</v>
      </c>
      <c r="P63" s="22"/>
      <c r="Q63" s="22"/>
      <c r="R63" s="22"/>
      <c r="S63" s="47"/>
      <c r="T63" s="48"/>
      <c r="U63" s="49"/>
      <c r="V63" s="49"/>
      <c r="W63" s="49"/>
      <c r="X63" s="50"/>
      <c r="Y63" s="22">
        <v>46171</v>
      </c>
      <c r="Z63" s="22">
        <v>46182</v>
      </c>
      <c r="AA63" s="22"/>
      <c r="AB63" s="22"/>
      <c r="AC63" s="22"/>
      <c r="AD63" s="24" t="s">
        <v>286</v>
      </c>
      <c r="AE63" s="22">
        <v>46147</v>
      </c>
      <c r="AF63" s="22">
        <v>46154</v>
      </c>
      <c r="AG63" s="23"/>
      <c r="AH63" s="23"/>
    </row>
    <row r="64" spans="1:34" ht="14.25">
      <c r="A64" s="11" t="s">
        <v>34</v>
      </c>
      <c r="B64" s="22" t="str">
        <f t="shared" si="2"/>
        <v>SS27P1</v>
      </c>
      <c r="C64" s="22" t="s">
        <v>35</v>
      </c>
      <c r="D64" s="22" t="s">
        <v>231</v>
      </c>
      <c r="E64" s="53" t="s">
        <v>278</v>
      </c>
      <c r="F64" s="51" t="s">
        <v>290</v>
      </c>
      <c r="G64" s="22" t="s">
        <v>291</v>
      </c>
      <c r="H64" s="22" t="s">
        <v>51</v>
      </c>
      <c r="I64" s="22" t="s">
        <v>52</v>
      </c>
      <c r="J64" s="22" t="s">
        <v>225</v>
      </c>
      <c r="K64" s="44" t="s">
        <v>54</v>
      </c>
      <c r="L64" s="44"/>
      <c r="M64" s="45" t="s">
        <v>204</v>
      </c>
      <c r="N64" s="23" t="s">
        <v>285</v>
      </c>
      <c r="O64" s="22">
        <v>46360</v>
      </c>
      <c r="P64" s="22"/>
      <c r="Q64" s="22"/>
      <c r="R64" s="22"/>
      <c r="S64" s="47"/>
      <c r="T64" s="48"/>
      <c r="U64" s="49"/>
      <c r="V64" s="49"/>
      <c r="W64" s="49"/>
      <c r="X64" s="50"/>
      <c r="Y64" s="22">
        <v>46171</v>
      </c>
      <c r="Z64" s="22">
        <v>46182</v>
      </c>
      <c r="AA64" s="22"/>
      <c r="AB64" s="22"/>
      <c r="AC64" s="22"/>
      <c r="AD64" s="24" t="s">
        <v>286</v>
      </c>
      <c r="AE64" s="22">
        <v>46147</v>
      </c>
      <c r="AF64" s="22">
        <v>46153</v>
      </c>
      <c r="AG64" s="23"/>
      <c r="AH64" s="23"/>
    </row>
    <row r="65" spans="1:34" ht="14.25">
      <c r="A65" s="11" t="s">
        <v>34</v>
      </c>
      <c r="B65" s="43" t="str">
        <f>CONCATENATE(C65,D65)</f>
        <v>SS27P1</v>
      </c>
      <c r="C65" s="24" t="s">
        <v>35</v>
      </c>
      <c r="D65" s="24" t="s">
        <v>231</v>
      </c>
      <c r="E65" s="23" t="s">
        <v>96</v>
      </c>
      <c r="F65" s="23" t="s">
        <v>292</v>
      </c>
      <c r="G65" s="23" t="s">
        <v>293</v>
      </c>
      <c r="H65" s="23" t="s">
        <v>51</v>
      </c>
      <c r="I65" s="23" t="s">
        <v>52</v>
      </c>
      <c r="J65" s="22" t="s">
        <v>245</v>
      </c>
      <c r="K65" s="22" t="s">
        <v>54</v>
      </c>
      <c r="L65" s="23" t="s">
        <v>43</v>
      </c>
      <c r="M65" s="45" t="s">
        <v>55</v>
      </c>
      <c r="N65" s="23" t="s">
        <v>294</v>
      </c>
      <c r="O65" s="22">
        <v>46360</v>
      </c>
      <c r="P65" s="22"/>
      <c r="Q65" s="22"/>
      <c r="R65" s="22"/>
      <c r="S65" s="47">
        <f>8000+4000</f>
        <v>12000</v>
      </c>
      <c r="T65" s="48"/>
      <c r="U65" s="49"/>
      <c r="V65" s="49"/>
      <c r="W65" s="49"/>
      <c r="X65" s="50"/>
      <c r="Y65" s="21">
        <v>46084</v>
      </c>
      <c r="Z65" s="22">
        <v>46142</v>
      </c>
      <c r="AA65" s="22">
        <v>46142</v>
      </c>
      <c r="AB65" s="23"/>
      <c r="AC65" s="23"/>
      <c r="AD65" s="24" t="s">
        <v>295</v>
      </c>
      <c r="AE65" s="21">
        <v>46114</v>
      </c>
      <c r="AF65" s="21">
        <v>46126</v>
      </c>
      <c r="AG65" s="23"/>
      <c r="AH65" s="23"/>
    </row>
    <row r="66" spans="1:34" ht="14.25">
      <c r="A66" s="11" t="s">
        <v>34</v>
      </c>
      <c r="B66" s="43" t="str">
        <f t="shared" ref="B66:B100" si="3">CONCATENATE(C66,D66)</f>
        <v>SS27P1</v>
      </c>
      <c r="C66" s="24" t="s">
        <v>35</v>
      </c>
      <c r="D66" s="24" t="s">
        <v>231</v>
      </c>
      <c r="E66" s="53" t="s">
        <v>296</v>
      </c>
      <c r="F66" s="51" t="s">
        <v>297</v>
      </c>
      <c r="G66" s="53" t="s">
        <v>298</v>
      </c>
      <c r="H66" s="23" t="s">
        <v>40</v>
      </c>
      <c r="I66" s="23" t="s">
        <v>41</v>
      </c>
      <c r="J66" s="22" t="s">
        <v>245</v>
      </c>
      <c r="K66" s="22"/>
      <c r="L66" s="53"/>
      <c r="M66" s="45" t="s">
        <v>119</v>
      </c>
      <c r="N66" s="53" t="s">
        <v>299</v>
      </c>
      <c r="O66" s="22">
        <v>46360</v>
      </c>
      <c r="P66" s="53"/>
      <c r="Q66" s="53"/>
      <c r="R66" s="53"/>
      <c r="S66" s="54">
        <v>6000</v>
      </c>
      <c r="T66" s="54"/>
      <c r="U66" s="53"/>
      <c r="V66" s="53"/>
      <c r="W66" s="53"/>
      <c r="X66" s="53"/>
      <c r="Y66" s="22">
        <v>46095</v>
      </c>
      <c r="Z66" s="22">
        <v>46164</v>
      </c>
      <c r="AA66" s="46">
        <v>46164</v>
      </c>
      <c r="AB66" s="23"/>
      <c r="AC66" s="23"/>
      <c r="AD66" s="24" t="s">
        <v>300</v>
      </c>
      <c r="AE66" s="21">
        <v>46127</v>
      </c>
      <c r="AF66" s="21">
        <v>46126</v>
      </c>
      <c r="AG66" s="53"/>
      <c r="AH66" s="53"/>
    </row>
    <row r="67" spans="1:34" ht="14.25">
      <c r="A67" s="11" t="s">
        <v>34</v>
      </c>
      <c r="B67" s="43" t="str">
        <f t="shared" si="3"/>
        <v>SS27P1</v>
      </c>
      <c r="C67" s="24" t="s">
        <v>35</v>
      </c>
      <c r="D67" s="24" t="s">
        <v>231</v>
      </c>
      <c r="E67" s="53" t="s">
        <v>296</v>
      </c>
      <c r="F67" s="51" t="s">
        <v>301</v>
      </c>
      <c r="G67" s="53" t="s">
        <v>302</v>
      </c>
      <c r="H67" s="23" t="s">
        <v>40</v>
      </c>
      <c r="I67" s="23" t="s">
        <v>41</v>
      </c>
      <c r="J67" s="22" t="s">
        <v>245</v>
      </c>
      <c r="K67" s="22" t="s">
        <v>54</v>
      </c>
      <c r="L67" s="53" t="s">
        <v>171</v>
      </c>
      <c r="M67" s="45" t="s">
        <v>204</v>
      </c>
      <c r="N67" s="53" t="s">
        <v>285</v>
      </c>
      <c r="O67" s="22">
        <v>46360</v>
      </c>
      <c r="P67" s="53"/>
      <c r="Q67" s="53"/>
      <c r="R67" s="53"/>
      <c r="S67" s="54">
        <v>6000</v>
      </c>
      <c r="T67" s="54"/>
      <c r="U67" s="53"/>
      <c r="V67" s="53"/>
      <c r="W67" s="53"/>
      <c r="X67" s="53"/>
      <c r="Y67" s="22">
        <v>46076</v>
      </c>
      <c r="Z67" s="22">
        <v>46164</v>
      </c>
      <c r="AA67" s="46">
        <v>46164</v>
      </c>
      <c r="AB67" s="23"/>
      <c r="AC67" s="23"/>
      <c r="AD67" s="24" t="s">
        <v>303</v>
      </c>
      <c r="AE67" s="21">
        <v>46127</v>
      </c>
      <c r="AF67" s="21">
        <v>46126</v>
      </c>
      <c r="AG67" s="53"/>
      <c r="AH67" s="53"/>
    </row>
    <row r="68" spans="1:34" ht="14.25">
      <c r="A68" s="11" t="s">
        <v>34</v>
      </c>
      <c r="B68" s="43" t="str">
        <f t="shared" si="3"/>
        <v>SS27P1</v>
      </c>
      <c r="C68" s="24" t="s">
        <v>35</v>
      </c>
      <c r="D68" s="24" t="s">
        <v>231</v>
      </c>
      <c r="E68" s="53" t="s">
        <v>296</v>
      </c>
      <c r="F68" s="53" t="s">
        <v>304</v>
      </c>
      <c r="G68" s="53" t="s">
        <v>305</v>
      </c>
      <c r="H68" s="23" t="s">
        <v>40</v>
      </c>
      <c r="I68" s="23" t="s">
        <v>306</v>
      </c>
      <c r="J68" s="22" t="s">
        <v>245</v>
      </c>
      <c r="K68" s="22" t="s">
        <v>54</v>
      </c>
      <c r="L68" s="53" t="s">
        <v>43</v>
      </c>
      <c r="M68" s="45" t="s">
        <v>222</v>
      </c>
      <c r="N68" s="53" t="s">
        <v>285</v>
      </c>
      <c r="O68" s="22">
        <v>46360</v>
      </c>
      <c r="P68" s="53"/>
      <c r="Q68" s="53"/>
      <c r="R68" s="53"/>
      <c r="S68" s="54">
        <v>6000</v>
      </c>
      <c r="T68" s="54"/>
      <c r="U68" s="53"/>
      <c r="V68" s="53"/>
      <c r="W68" s="53"/>
      <c r="X68" s="53"/>
      <c r="Y68" s="22">
        <v>46076</v>
      </c>
      <c r="Z68" s="22">
        <v>46171</v>
      </c>
      <c r="AA68" s="22">
        <v>46168</v>
      </c>
      <c r="AB68" s="23"/>
      <c r="AC68" s="23"/>
      <c r="AD68" s="24" t="s">
        <v>300</v>
      </c>
      <c r="AE68" s="21">
        <v>46127</v>
      </c>
      <c r="AF68" s="21">
        <v>46126</v>
      </c>
      <c r="AG68" s="53"/>
      <c r="AH68" s="53"/>
    </row>
    <row r="69" spans="1:34" ht="14.25">
      <c r="A69" s="11" t="s">
        <v>34</v>
      </c>
      <c r="B69" s="43" t="str">
        <f t="shared" si="3"/>
        <v>SS27P1</v>
      </c>
      <c r="C69" s="24" t="s">
        <v>35</v>
      </c>
      <c r="D69" s="24" t="s">
        <v>231</v>
      </c>
      <c r="E69" s="53" t="s">
        <v>296</v>
      </c>
      <c r="F69" s="51" t="s">
        <v>307</v>
      </c>
      <c r="G69" s="53" t="s">
        <v>308</v>
      </c>
      <c r="H69" s="23" t="s">
        <v>40</v>
      </c>
      <c r="I69" s="23" t="s">
        <v>41</v>
      </c>
      <c r="J69" s="22" t="s">
        <v>245</v>
      </c>
      <c r="K69" s="22" t="s">
        <v>54</v>
      </c>
      <c r="L69" s="53"/>
      <c r="M69" s="45" t="s">
        <v>272</v>
      </c>
      <c r="N69" s="53" t="s">
        <v>285</v>
      </c>
      <c r="O69" s="22">
        <v>46360</v>
      </c>
      <c r="P69" s="53"/>
      <c r="Q69" s="53"/>
      <c r="R69" s="53"/>
      <c r="S69" s="54">
        <v>9000</v>
      </c>
      <c r="T69" s="54"/>
      <c r="U69" s="53"/>
      <c r="V69" s="53"/>
      <c r="W69" s="53"/>
      <c r="X69" s="53"/>
      <c r="Y69" s="22">
        <v>46076</v>
      </c>
      <c r="Z69" s="22">
        <v>46164</v>
      </c>
      <c r="AA69" s="46">
        <v>46164</v>
      </c>
      <c r="AB69" s="23"/>
      <c r="AC69" s="23"/>
      <c r="AD69" s="24" t="s">
        <v>309</v>
      </c>
      <c r="AE69" s="21">
        <v>46127</v>
      </c>
      <c r="AF69" s="21">
        <v>46126</v>
      </c>
      <c r="AG69" s="53"/>
      <c r="AH69" s="53"/>
    </row>
    <row r="70" spans="1:34" ht="14.25">
      <c r="A70" s="11" t="s">
        <v>34</v>
      </c>
      <c r="B70" s="43" t="str">
        <f>CONCATENATE(C70,D70)</f>
        <v>SS27P2</v>
      </c>
      <c r="C70" s="24" t="s">
        <v>35</v>
      </c>
      <c r="D70" s="24" t="s">
        <v>310</v>
      </c>
      <c r="E70" s="23" t="s">
        <v>37</v>
      </c>
      <c r="F70" s="23" t="s">
        <v>311</v>
      </c>
      <c r="G70" s="23" t="s">
        <v>312</v>
      </c>
      <c r="H70" s="23" t="s">
        <v>40</v>
      </c>
      <c r="I70" s="23" t="s">
        <v>41</v>
      </c>
      <c r="J70" s="22" t="s">
        <v>225</v>
      </c>
      <c r="K70" s="22"/>
      <c r="L70" s="44"/>
      <c r="M70" s="22" t="s">
        <v>119</v>
      </c>
      <c r="N70" s="23" t="s">
        <v>313</v>
      </c>
      <c r="O70" s="22">
        <v>46360</v>
      </c>
      <c r="P70" s="22"/>
      <c r="Q70" s="22"/>
      <c r="R70" s="22"/>
      <c r="S70" s="47">
        <f>7500+9500</f>
        <v>17000</v>
      </c>
      <c r="T70" s="48"/>
      <c r="U70" s="22"/>
      <c r="V70" s="22"/>
      <c r="W70" s="22"/>
      <c r="X70" s="22"/>
      <c r="Y70" s="22">
        <v>46087</v>
      </c>
      <c r="Z70" s="22">
        <v>46147</v>
      </c>
      <c r="AA70" s="46">
        <v>46164</v>
      </c>
      <c r="AB70" s="22"/>
      <c r="AC70" s="22"/>
      <c r="AD70" s="22" t="s">
        <v>314</v>
      </c>
      <c r="AE70" s="22">
        <v>46108</v>
      </c>
      <c r="AF70" s="22">
        <v>46120</v>
      </c>
      <c r="AG70" s="23"/>
      <c r="AH70" s="23"/>
    </row>
    <row r="71" spans="1:34" ht="14.25">
      <c r="A71" s="11" t="s">
        <v>34</v>
      </c>
      <c r="B71" s="23" t="str">
        <f t="shared" ref="B71" si="4">CONCATENATE(C71,D71)</f>
        <v>SS27P1</v>
      </c>
      <c r="C71" s="23" t="s">
        <v>35</v>
      </c>
      <c r="D71" s="23" t="s">
        <v>231</v>
      </c>
      <c r="E71" s="22" t="s">
        <v>315</v>
      </c>
      <c r="F71" s="22" t="s">
        <v>316</v>
      </c>
      <c r="G71" s="46" t="s">
        <v>317</v>
      </c>
      <c r="H71" s="22" t="s">
        <v>40</v>
      </c>
      <c r="I71" s="22" t="s">
        <v>41</v>
      </c>
      <c r="J71" s="22" t="s">
        <v>225</v>
      </c>
      <c r="K71" s="22"/>
      <c r="L71" s="23"/>
      <c r="M71" s="22" t="s">
        <v>272</v>
      </c>
      <c r="N71" s="22" t="s">
        <v>318</v>
      </c>
      <c r="O71" s="22">
        <v>46367</v>
      </c>
      <c r="P71" s="22"/>
      <c r="Q71" s="22"/>
      <c r="R71" s="22"/>
      <c r="S71" s="52"/>
      <c r="T71" s="52"/>
      <c r="U71" s="22"/>
      <c r="V71" s="22"/>
      <c r="W71" s="22"/>
      <c r="X71" s="22"/>
      <c r="Y71" s="22">
        <v>46144</v>
      </c>
      <c r="Z71" s="22">
        <v>46182</v>
      </c>
      <c r="AA71" s="22"/>
      <c r="AB71" s="22"/>
      <c r="AC71" s="22"/>
      <c r="AD71" s="22" t="s">
        <v>282</v>
      </c>
      <c r="AE71" s="22">
        <v>46140</v>
      </c>
      <c r="AF71" s="22">
        <v>46139</v>
      </c>
      <c r="AG71" s="23"/>
      <c r="AH71" s="23"/>
    </row>
    <row r="72" spans="1:34" ht="14.25">
      <c r="A72" s="11" t="s">
        <v>34</v>
      </c>
      <c r="B72" s="34" t="str">
        <f>CONCATENATE(C72,D72)</f>
        <v>SS27P1</v>
      </c>
      <c r="C72" s="35" t="s">
        <v>35</v>
      </c>
      <c r="D72" s="35" t="s">
        <v>231</v>
      </c>
      <c r="E72" s="36" t="s">
        <v>319</v>
      </c>
      <c r="F72" s="36" t="s">
        <v>320</v>
      </c>
      <c r="G72" s="36" t="s">
        <v>321</v>
      </c>
      <c r="H72" s="36" t="s">
        <v>51</v>
      </c>
      <c r="I72" s="36" t="s">
        <v>52</v>
      </c>
      <c r="J72" s="37" t="s">
        <v>83</v>
      </c>
      <c r="K72" s="37" t="s">
        <v>54</v>
      </c>
      <c r="L72" s="38" t="s">
        <v>43</v>
      </c>
      <c r="M72" s="39" t="s">
        <v>55</v>
      </c>
      <c r="N72" s="36" t="s">
        <v>322</v>
      </c>
      <c r="O72" s="46">
        <v>46367</v>
      </c>
      <c r="P72" s="37">
        <v>46367</v>
      </c>
      <c r="Q72" s="37">
        <v>46226</v>
      </c>
      <c r="R72" s="37"/>
      <c r="S72" s="40">
        <f>6000+8500</f>
        <v>14500</v>
      </c>
      <c r="T72" s="41"/>
      <c r="U72" s="42">
        <v>5.15</v>
      </c>
      <c r="V72" s="42"/>
      <c r="W72" s="42"/>
      <c r="X72" s="40"/>
      <c r="Y72" s="21">
        <v>46108</v>
      </c>
      <c r="Z72" s="22">
        <v>46150</v>
      </c>
      <c r="AA72" s="22">
        <v>46150</v>
      </c>
      <c r="AB72" s="23"/>
      <c r="AC72" s="21"/>
      <c r="AD72" s="24" t="s">
        <v>178</v>
      </c>
      <c r="AE72" s="21">
        <v>46114</v>
      </c>
      <c r="AF72" s="21">
        <v>46126</v>
      </c>
      <c r="AG72" s="23"/>
      <c r="AH72" s="23"/>
    </row>
    <row r="73" spans="1:34" ht="14.25">
      <c r="A73" s="11" t="s">
        <v>34</v>
      </c>
      <c r="B73" s="43" t="str">
        <f>CONCATENATE(C73,D73)</f>
        <v>SS27P2</v>
      </c>
      <c r="C73" s="24" t="s">
        <v>35</v>
      </c>
      <c r="D73" s="24" t="s">
        <v>310</v>
      </c>
      <c r="E73" s="23" t="s">
        <v>323</v>
      </c>
      <c r="F73" s="23" t="s">
        <v>324</v>
      </c>
      <c r="G73" s="22" t="s">
        <v>325</v>
      </c>
      <c r="H73" s="23" t="s">
        <v>40</v>
      </c>
      <c r="I73" s="23" t="s">
        <v>41</v>
      </c>
      <c r="J73" s="44" t="s">
        <v>326</v>
      </c>
      <c r="K73" s="44" t="s">
        <v>54</v>
      </c>
      <c r="L73" s="44" t="s">
        <v>43</v>
      </c>
      <c r="M73" s="45" t="s">
        <v>272</v>
      </c>
      <c r="N73" s="23" t="s">
        <v>327</v>
      </c>
      <c r="O73" s="22">
        <v>46372</v>
      </c>
      <c r="P73" s="22"/>
      <c r="Q73" s="22"/>
      <c r="R73" s="22"/>
      <c r="S73" s="47"/>
      <c r="T73" s="48"/>
      <c r="U73" s="49"/>
      <c r="V73" s="49"/>
      <c r="W73" s="49"/>
      <c r="X73" s="50"/>
      <c r="Y73" s="21">
        <v>46078</v>
      </c>
      <c r="Z73" s="22">
        <v>46157</v>
      </c>
      <c r="AA73" s="22">
        <v>46161</v>
      </c>
      <c r="AB73" s="23"/>
      <c r="AC73" s="23"/>
      <c r="AD73" s="24" t="s">
        <v>328</v>
      </c>
      <c r="AE73" s="21">
        <v>46133</v>
      </c>
      <c r="AF73" s="21">
        <v>46134</v>
      </c>
      <c r="AG73" s="23"/>
      <c r="AH73" s="23"/>
    </row>
    <row r="74" spans="1:34" ht="14.25">
      <c r="A74" s="11" t="s">
        <v>34</v>
      </c>
      <c r="B74" s="43" t="str">
        <f t="shared" ref="B74:B122" si="5">CONCATENATE(C74,D74)</f>
        <v>SS27P1</v>
      </c>
      <c r="C74" s="24" t="s">
        <v>35</v>
      </c>
      <c r="D74" s="24" t="s">
        <v>231</v>
      </c>
      <c r="E74" s="23" t="s">
        <v>329</v>
      </c>
      <c r="F74" s="23" t="s">
        <v>330</v>
      </c>
      <c r="G74" s="23" t="s">
        <v>331</v>
      </c>
      <c r="H74" s="23" t="s">
        <v>108</v>
      </c>
      <c r="I74" s="23" t="s">
        <v>332</v>
      </c>
      <c r="J74" s="22" t="s">
        <v>333</v>
      </c>
      <c r="K74" s="22"/>
      <c r="L74" s="44"/>
      <c r="M74" s="45" t="s">
        <v>110</v>
      </c>
      <c r="N74" s="23" t="s">
        <v>334</v>
      </c>
      <c r="O74" s="22">
        <v>46374</v>
      </c>
      <c r="P74" s="22"/>
      <c r="Q74" s="22"/>
      <c r="R74" s="22"/>
      <c r="S74" s="47">
        <v>2000</v>
      </c>
      <c r="T74" s="48"/>
      <c r="U74" s="49"/>
      <c r="V74" s="49"/>
      <c r="W74" s="49"/>
      <c r="X74" s="50"/>
      <c r="Y74" s="23" t="s">
        <v>335</v>
      </c>
      <c r="Z74" s="22">
        <v>46182</v>
      </c>
      <c r="AA74" s="22"/>
      <c r="AB74" s="23"/>
      <c r="AC74" s="23"/>
      <c r="AD74" s="24" t="s">
        <v>336</v>
      </c>
      <c r="AE74" s="21">
        <v>46087</v>
      </c>
      <c r="AF74" s="21">
        <v>46098</v>
      </c>
      <c r="AG74" s="23"/>
      <c r="AH74" s="23"/>
    </row>
    <row r="75" spans="1:34" ht="14.25">
      <c r="A75" s="11" t="s">
        <v>34</v>
      </c>
      <c r="B75" s="12" t="str">
        <f t="shared" si="5"/>
        <v>SS27P1</v>
      </c>
      <c r="C75" s="13" t="s">
        <v>35</v>
      </c>
      <c r="D75" s="13" t="s">
        <v>231</v>
      </c>
      <c r="E75" s="14" t="s">
        <v>329</v>
      </c>
      <c r="F75" s="14" t="s">
        <v>337</v>
      </c>
      <c r="G75" s="14" t="s">
        <v>338</v>
      </c>
      <c r="H75" s="14" t="s">
        <v>108</v>
      </c>
      <c r="I75" s="14" t="s">
        <v>332</v>
      </c>
      <c r="J75" s="15" t="s">
        <v>42</v>
      </c>
      <c r="K75" s="15"/>
      <c r="L75" s="16"/>
      <c r="M75" s="17" t="s">
        <v>110</v>
      </c>
      <c r="N75" s="14" t="s">
        <v>339</v>
      </c>
      <c r="O75" s="15">
        <v>46374</v>
      </c>
      <c r="P75" s="15">
        <v>46374</v>
      </c>
      <c r="Q75" s="15">
        <v>46196</v>
      </c>
      <c r="R75" s="15"/>
      <c r="S75" s="18">
        <v>1500</v>
      </c>
      <c r="T75" s="19"/>
      <c r="U75" s="20">
        <v>9.6</v>
      </c>
      <c r="V75" s="20">
        <v>7.65</v>
      </c>
      <c r="W75" s="20">
        <v>8.85</v>
      </c>
      <c r="X75" s="18"/>
      <c r="Y75" s="21" t="s">
        <v>335</v>
      </c>
      <c r="Z75" s="22">
        <v>46182</v>
      </c>
      <c r="AA75" s="22"/>
      <c r="AB75" s="23"/>
      <c r="AC75" s="23"/>
      <c r="AD75" s="24" t="s">
        <v>336</v>
      </c>
      <c r="AE75" s="21">
        <v>46087</v>
      </c>
      <c r="AF75" s="21">
        <v>46098</v>
      </c>
      <c r="AG75" s="23"/>
      <c r="AH75" s="23"/>
    </row>
    <row r="76" spans="1:34" ht="14.25">
      <c r="A76" s="11" t="s">
        <v>34</v>
      </c>
      <c r="B76" s="43" t="str">
        <f t="shared" si="5"/>
        <v>SS27P1</v>
      </c>
      <c r="C76" s="24" t="s">
        <v>35</v>
      </c>
      <c r="D76" s="24" t="s">
        <v>231</v>
      </c>
      <c r="E76" s="53" t="s">
        <v>340</v>
      </c>
      <c r="F76" s="23" t="s">
        <v>341</v>
      </c>
      <c r="G76" s="23" t="s">
        <v>342</v>
      </c>
      <c r="H76" s="23" t="s">
        <v>108</v>
      </c>
      <c r="I76" s="23" t="s">
        <v>109</v>
      </c>
      <c r="J76" s="22" t="s">
        <v>225</v>
      </c>
      <c r="K76" s="22"/>
      <c r="L76" s="23"/>
      <c r="M76" s="45" t="s">
        <v>110</v>
      </c>
      <c r="N76" s="23" t="s">
        <v>343</v>
      </c>
      <c r="O76" s="22">
        <v>46374</v>
      </c>
      <c r="P76" s="22"/>
      <c r="Q76" s="22"/>
      <c r="R76" s="22"/>
      <c r="S76" s="47"/>
      <c r="T76" s="48"/>
      <c r="U76" s="49"/>
      <c r="V76" s="49"/>
      <c r="W76" s="49"/>
      <c r="X76" s="50"/>
      <c r="Y76" s="22">
        <v>46129</v>
      </c>
      <c r="Z76" s="22">
        <v>46171</v>
      </c>
      <c r="AA76" s="22"/>
      <c r="AB76" s="23"/>
      <c r="AC76" s="23"/>
      <c r="AD76" s="24" t="s">
        <v>344</v>
      </c>
      <c r="AE76" s="21">
        <v>46120</v>
      </c>
      <c r="AF76" s="21">
        <v>46129</v>
      </c>
      <c r="AG76" s="23"/>
      <c r="AH76" s="23"/>
    </row>
    <row r="77" spans="1:34" ht="14.25">
      <c r="A77" s="11" t="s">
        <v>34</v>
      </c>
      <c r="B77" s="43" t="str">
        <f t="shared" si="5"/>
        <v>SS27P1</v>
      </c>
      <c r="C77" s="24" t="s">
        <v>35</v>
      </c>
      <c r="D77" s="24" t="s">
        <v>231</v>
      </c>
      <c r="E77" s="53" t="s">
        <v>340</v>
      </c>
      <c r="F77" s="23" t="s">
        <v>345</v>
      </c>
      <c r="G77" s="23" t="s">
        <v>346</v>
      </c>
      <c r="H77" s="23" t="s">
        <v>108</v>
      </c>
      <c r="I77" s="23" t="s">
        <v>109</v>
      </c>
      <c r="J77" s="22" t="s">
        <v>225</v>
      </c>
      <c r="K77" s="22"/>
      <c r="L77" s="23"/>
      <c r="M77" s="45" t="s">
        <v>110</v>
      </c>
      <c r="N77" s="23" t="s">
        <v>343</v>
      </c>
      <c r="O77" s="22">
        <v>46374</v>
      </c>
      <c r="P77" s="22"/>
      <c r="Q77" s="22"/>
      <c r="R77" s="22"/>
      <c r="S77" s="47">
        <v>4700</v>
      </c>
      <c r="T77" s="48"/>
      <c r="U77" s="49"/>
      <c r="V77" s="49"/>
      <c r="W77" s="49"/>
      <c r="X77" s="50"/>
      <c r="Y77" s="22">
        <v>46129</v>
      </c>
      <c r="Z77" s="22">
        <v>46171</v>
      </c>
      <c r="AA77" s="22"/>
      <c r="AB77" s="23"/>
      <c r="AC77" s="23"/>
      <c r="AD77" s="24" t="s">
        <v>344</v>
      </c>
      <c r="AE77" s="21">
        <v>46120</v>
      </c>
      <c r="AF77" s="21">
        <v>46129</v>
      </c>
      <c r="AG77" s="23"/>
      <c r="AH77" s="23"/>
    </row>
    <row r="78" spans="1:34" ht="14.25">
      <c r="A78" s="11" t="s">
        <v>34</v>
      </c>
      <c r="B78" s="43" t="str">
        <f t="shared" si="5"/>
        <v>SS27P1</v>
      </c>
      <c r="C78" s="24" t="s">
        <v>35</v>
      </c>
      <c r="D78" s="24" t="s">
        <v>231</v>
      </c>
      <c r="E78" s="53" t="s">
        <v>340</v>
      </c>
      <c r="F78" s="23" t="s">
        <v>347</v>
      </c>
      <c r="G78" s="23" t="s">
        <v>348</v>
      </c>
      <c r="H78" s="23" t="s">
        <v>108</v>
      </c>
      <c r="I78" s="23" t="s">
        <v>109</v>
      </c>
      <c r="J78" s="22" t="s">
        <v>225</v>
      </c>
      <c r="K78" s="22"/>
      <c r="L78" s="23"/>
      <c r="M78" s="45" t="s">
        <v>349</v>
      </c>
      <c r="N78" s="23" t="s">
        <v>350</v>
      </c>
      <c r="O78" s="22">
        <v>46374</v>
      </c>
      <c r="P78" s="22"/>
      <c r="Q78" s="22"/>
      <c r="R78" s="22"/>
      <c r="S78" s="47">
        <v>2100</v>
      </c>
      <c r="T78" s="48"/>
      <c r="U78" s="49"/>
      <c r="V78" s="49"/>
      <c r="W78" s="49"/>
      <c r="X78" s="50"/>
      <c r="Y78" s="22">
        <v>46150</v>
      </c>
      <c r="Z78" s="22">
        <v>46171</v>
      </c>
      <c r="AA78" s="22"/>
      <c r="AB78" s="23"/>
      <c r="AC78" s="23"/>
      <c r="AD78" s="24" t="s">
        <v>351</v>
      </c>
      <c r="AE78" s="21">
        <v>46120</v>
      </c>
      <c r="AF78" s="21">
        <v>46129</v>
      </c>
      <c r="AG78" s="23"/>
      <c r="AH78" s="23"/>
    </row>
    <row r="79" spans="1:34" ht="14.25">
      <c r="A79" s="11" t="s">
        <v>34</v>
      </c>
      <c r="B79" s="43" t="str">
        <f t="shared" si="5"/>
        <v>SS27P1</v>
      </c>
      <c r="C79" s="24" t="s">
        <v>35</v>
      </c>
      <c r="D79" s="24" t="s">
        <v>231</v>
      </c>
      <c r="E79" s="53" t="s">
        <v>340</v>
      </c>
      <c r="F79" s="23" t="s">
        <v>352</v>
      </c>
      <c r="G79" s="23" t="s">
        <v>353</v>
      </c>
      <c r="H79" s="23" t="s">
        <v>108</v>
      </c>
      <c r="I79" s="23" t="s">
        <v>244</v>
      </c>
      <c r="J79" s="22" t="s">
        <v>225</v>
      </c>
      <c r="K79" s="22"/>
      <c r="L79" s="23"/>
      <c r="M79" s="45" t="s">
        <v>222</v>
      </c>
      <c r="N79" s="23" t="s">
        <v>354</v>
      </c>
      <c r="O79" s="22">
        <v>46374</v>
      </c>
      <c r="P79" s="22"/>
      <c r="Q79" s="22"/>
      <c r="R79" s="22"/>
      <c r="S79" s="47">
        <v>5300</v>
      </c>
      <c r="T79" s="48"/>
      <c r="U79" s="49"/>
      <c r="V79" s="49"/>
      <c r="W79" s="49"/>
      <c r="X79" s="50"/>
      <c r="Y79" s="22">
        <v>46150</v>
      </c>
      <c r="Z79" s="22">
        <v>46164</v>
      </c>
      <c r="AA79" s="22">
        <v>46164</v>
      </c>
      <c r="AB79" s="23"/>
      <c r="AC79" s="23"/>
      <c r="AD79" s="24" t="s">
        <v>355</v>
      </c>
      <c r="AE79" s="21">
        <v>46120</v>
      </c>
      <c r="AF79" s="21">
        <v>46129</v>
      </c>
      <c r="AG79" s="23"/>
      <c r="AH79" s="23"/>
    </row>
    <row r="80" spans="1:34" ht="14.25">
      <c r="A80" s="11" t="s">
        <v>34</v>
      </c>
      <c r="B80" s="43" t="str">
        <f t="shared" si="5"/>
        <v>SS27P1</v>
      </c>
      <c r="C80" s="24" t="s">
        <v>35</v>
      </c>
      <c r="D80" s="24" t="s">
        <v>231</v>
      </c>
      <c r="E80" s="53" t="s">
        <v>340</v>
      </c>
      <c r="F80" s="23" t="s">
        <v>356</v>
      </c>
      <c r="G80" s="23" t="s">
        <v>357</v>
      </c>
      <c r="H80" s="23" t="s">
        <v>108</v>
      </c>
      <c r="I80" s="23" t="s">
        <v>244</v>
      </c>
      <c r="J80" s="22" t="s">
        <v>225</v>
      </c>
      <c r="K80" s="22"/>
      <c r="L80" s="23"/>
      <c r="M80" s="45" t="s">
        <v>110</v>
      </c>
      <c r="N80" s="23" t="s">
        <v>358</v>
      </c>
      <c r="O80" s="22">
        <v>46374</v>
      </c>
      <c r="P80" s="22"/>
      <c r="Q80" s="22"/>
      <c r="R80" s="22"/>
      <c r="S80" s="47">
        <v>5000</v>
      </c>
      <c r="T80" s="48"/>
      <c r="U80" s="49"/>
      <c r="V80" s="49"/>
      <c r="W80" s="49"/>
      <c r="X80" s="50"/>
      <c r="Y80" s="22">
        <v>46150</v>
      </c>
      <c r="Z80" s="22">
        <v>46171</v>
      </c>
      <c r="AA80" s="22"/>
      <c r="AB80" s="23"/>
      <c r="AC80" s="23"/>
      <c r="AD80" s="24" t="s">
        <v>359</v>
      </c>
      <c r="AE80" s="21">
        <v>46120</v>
      </c>
      <c r="AF80" s="21">
        <v>46129</v>
      </c>
      <c r="AG80" s="23"/>
      <c r="AH80" s="23"/>
    </row>
    <row r="81" spans="1:34" ht="14.25">
      <c r="A81" s="11" t="s">
        <v>34</v>
      </c>
      <c r="B81" s="43" t="str">
        <f t="shared" si="5"/>
        <v>SS27P1</v>
      </c>
      <c r="C81" s="24" t="s">
        <v>35</v>
      </c>
      <c r="D81" s="24" t="s">
        <v>231</v>
      </c>
      <c r="E81" s="23" t="s">
        <v>360</v>
      </c>
      <c r="F81" s="23" t="s">
        <v>361</v>
      </c>
      <c r="G81" s="23" t="s">
        <v>362</v>
      </c>
      <c r="H81" s="23" t="s">
        <v>40</v>
      </c>
      <c r="I81" s="23" t="s">
        <v>41</v>
      </c>
      <c r="J81" s="22" t="s">
        <v>225</v>
      </c>
      <c r="K81" s="22"/>
      <c r="L81" s="23"/>
      <c r="M81" s="45" t="s">
        <v>272</v>
      </c>
      <c r="N81" s="23" t="s">
        <v>363</v>
      </c>
      <c r="O81" s="22">
        <v>46374</v>
      </c>
      <c r="P81" s="22"/>
      <c r="Q81" s="22"/>
      <c r="R81" s="22"/>
      <c r="S81" s="47"/>
      <c r="T81" s="48"/>
      <c r="U81" s="49"/>
      <c r="V81" s="49"/>
      <c r="W81" s="49"/>
      <c r="X81" s="50"/>
      <c r="Y81" s="21">
        <v>46140</v>
      </c>
      <c r="Z81" s="22">
        <v>46164</v>
      </c>
      <c r="AA81" s="22">
        <v>46164</v>
      </c>
      <c r="AB81" s="23"/>
      <c r="AC81" s="23"/>
      <c r="AD81" s="24" t="s">
        <v>300</v>
      </c>
      <c r="AE81" s="21">
        <v>46133</v>
      </c>
      <c r="AF81" s="21">
        <v>46134</v>
      </c>
      <c r="AG81" s="23"/>
      <c r="AH81" s="23"/>
    </row>
    <row r="82" spans="1:34" ht="14.25">
      <c r="A82" s="11" t="s">
        <v>34</v>
      </c>
      <c r="B82" s="43" t="str">
        <f t="shared" si="5"/>
        <v>SS27P1</v>
      </c>
      <c r="C82" s="24" t="s">
        <v>35</v>
      </c>
      <c r="D82" s="24" t="s">
        <v>231</v>
      </c>
      <c r="E82" s="23" t="s">
        <v>360</v>
      </c>
      <c r="F82" s="23" t="s">
        <v>364</v>
      </c>
      <c r="G82" s="23" t="s">
        <v>365</v>
      </c>
      <c r="H82" s="23" t="s">
        <v>51</v>
      </c>
      <c r="I82" s="23" t="s">
        <v>221</v>
      </c>
      <c r="J82" s="22" t="s">
        <v>229</v>
      </c>
      <c r="K82" s="22"/>
      <c r="L82" s="23"/>
      <c r="M82" s="45" t="s">
        <v>222</v>
      </c>
      <c r="N82" s="23" t="s">
        <v>366</v>
      </c>
      <c r="O82" s="22">
        <v>46374</v>
      </c>
      <c r="P82" s="22"/>
      <c r="Q82" s="22"/>
      <c r="R82" s="22"/>
      <c r="S82" s="47"/>
      <c r="T82" s="48"/>
      <c r="U82" s="49"/>
      <c r="V82" s="49"/>
      <c r="W82" s="49"/>
      <c r="X82" s="50"/>
      <c r="Y82" s="21">
        <v>46140</v>
      </c>
      <c r="Z82" s="22">
        <v>46171</v>
      </c>
      <c r="AA82" s="22"/>
      <c r="AB82" s="23"/>
      <c r="AC82" s="23"/>
      <c r="AD82" s="24" t="s">
        <v>367</v>
      </c>
      <c r="AE82" s="21">
        <v>46133</v>
      </c>
      <c r="AF82" s="21">
        <v>46134</v>
      </c>
      <c r="AG82" s="23"/>
      <c r="AH82" s="23"/>
    </row>
    <row r="83" spans="1:34" ht="14.25">
      <c r="A83" s="11" t="s">
        <v>34</v>
      </c>
      <c r="B83" s="43" t="str">
        <f t="shared" si="5"/>
        <v>SS27P1</v>
      </c>
      <c r="C83" s="24" t="s">
        <v>35</v>
      </c>
      <c r="D83" s="24" t="s">
        <v>231</v>
      </c>
      <c r="E83" s="23" t="s">
        <v>360</v>
      </c>
      <c r="F83" s="23" t="s">
        <v>368</v>
      </c>
      <c r="G83" s="23" t="s">
        <v>369</v>
      </c>
      <c r="H83" s="23" t="s">
        <v>51</v>
      </c>
      <c r="I83" s="23" t="s">
        <v>52</v>
      </c>
      <c r="J83" s="22" t="s">
        <v>225</v>
      </c>
      <c r="K83" s="22"/>
      <c r="L83" s="23"/>
      <c r="M83" s="45" t="s">
        <v>119</v>
      </c>
      <c r="N83" s="23" t="s">
        <v>370</v>
      </c>
      <c r="O83" s="22">
        <v>46374</v>
      </c>
      <c r="P83" s="22"/>
      <c r="Q83" s="22"/>
      <c r="R83" s="22"/>
      <c r="S83" s="47"/>
      <c r="T83" s="48"/>
      <c r="U83" s="49"/>
      <c r="V83" s="49"/>
      <c r="W83" s="49"/>
      <c r="X83" s="50"/>
      <c r="Y83" s="21">
        <v>46139</v>
      </c>
      <c r="Z83" s="22">
        <v>46162</v>
      </c>
      <c r="AA83" s="22">
        <v>46161</v>
      </c>
      <c r="AB83" s="23"/>
      <c r="AC83" s="23"/>
      <c r="AD83" s="24" t="s">
        <v>371</v>
      </c>
      <c r="AE83" s="21">
        <v>46133</v>
      </c>
      <c r="AF83" s="21">
        <v>46134</v>
      </c>
      <c r="AG83" s="23"/>
      <c r="AH83" s="23"/>
    </row>
    <row r="84" spans="1:34" ht="14.25">
      <c r="A84" s="11" t="s">
        <v>34</v>
      </c>
      <c r="B84" s="43" t="str">
        <f t="shared" si="5"/>
        <v>SS27P1</v>
      </c>
      <c r="C84" s="24" t="s">
        <v>35</v>
      </c>
      <c r="D84" s="24" t="s">
        <v>231</v>
      </c>
      <c r="E84" s="23" t="s">
        <v>360</v>
      </c>
      <c r="F84" s="23" t="s">
        <v>372</v>
      </c>
      <c r="G84" s="23" t="s">
        <v>373</v>
      </c>
      <c r="H84" s="23" t="s">
        <v>51</v>
      </c>
      <c r="I84" s="23" t="s">
        <v>52</v>
      </c>
      <c r="J84" s="22" t="s">
        <v>229</v>
      </c>
      <c r="K84" s="22"/>
      <c r="L84" s="23"/>
      <c r="M84" s="45" t="s">
        <v>55</v>
      </c>
      <c r="N84" s="23" t="s">
        <v>366</v>
      </c>
      <c r="O84" s="22">
        <v>46374</v>
      </c>
      <c r="P84" s="22"/>
      <c r="Q84" s="22"/>
      <c r="R84" s="22"/>
      <c r="S84" s="47"/>
      <c r="T84" s="48"/>
      <c r="U84" s="49"/>
      <c r="V84" s="49"/>
      <c r="W84" s="49"/>
      <c r="X84" s="50"/>
      <c r="Y84" s="21">
        <v>46140</v>
      </c>
      <c r="Z84" s="22" t="s">
        <v>46</v>
      </c>
      <c r="AA84" s="22"/>
      <c r="AB84" s="23"/>
      <c r="AC84" s="23"/>
      <c r="AD84" s="24" t="s">
        <v>213</v>
      </c>
      <c r="AE84" s="21">
        <v>46133</v>
      </c>
      <c r="AF84" s="21">
        <v>46134</v>
      </c>
      <c r="AG84" s="23"/>
      <c r="AH84" s="23"/>
    </row>
    <row r="85" spans="1:34" ht="14.25">
      <c r="A85" s="11" t="s">
        <v>34</v>
      </c>
      <c r="B85" s="43" t="str">
        <f t="shared" si="5"/>
        <v>SS27P1</v>
      </c>
      <c r="C85" s="24" t="s">
        <v>35</v>
      </c>
      <c r="D85" s="24" t="s">
        <v>231</v>
      </c>
      <c r="E85" s="23" t="s">
        <v>360</v>
      </c>
      <c r="F85" s="23" t="s">
        <v>374</v>
      </c>
      <c r="G85" s="23" t="s">
        <v>375</v>
      </c>
      <c r="H85" s="23" t="s">
        <v>51</v>
      </c>
      <c r="I85" s="23" t="s">
        <v>52</v>
      </c>
      <c r="J85" s="22" t="s">
        <v>225</v>
      </c>
      <c r="K85" s="22"/>
      <c r="L85" s="23"/>
      <c r="M85" s="45" t="s">
        <v>110</v>
      </c>
      <c r="N85" s="23" t="s">
        <v>376</v>
      </c>
      <c r="O85" s="22">
        <v>46374</v>
      </c>
      <c r="P85" s="22"/>
      <c r="Q85" s="22"/>
      <c r="R85" s="22"/>
      <c r="S85" s="47"/>
      <c r="T85" s="48"/>
      <c r="U85" s="49"/>
      <c r="V85" s="49"/>
      <c r="W85" s="49"/>
      <c r="X85" s="50"/>
      <c r="Y85" s="21">
        <v>46137</v>
      </c>
      <c r="Z85" s="22" t="s">
        <v>42</v>
      </c>
      <c r="AA85" s="22"/>
      <c r="AB85" s="23"/>
      <c r="AC85" s="23"/>
      <c r="AD85" s="24" t="s">
        <v>377</v>
      </c>
      <c r="AE85" s="21">
        <v>46133</v>
      </c>
      <c r="AF85" s="21">
        <v>46134</v>
      </c>
      <c r="AG85" s="23"/>
      <c r="AH85" s="23"/>
    </row>
    <row r="86" spans="1:34" ht="14.25">
      <c r="A86" s="11" t="s">
        <v>34</v>
      </c>
      <c r="B86" s="22" t="str">
        <f t="shared" si="5"/>
        <v>SS27P1</v>
      </c>
      <c r="C86" s="22" t="s">
        <v>35</v>
      </c>
      <c r="D86" s="22" t="s">
        <v>231</v>
      </c>
      <c r="E86" s="22" t="s">
        <v>37</v>
      </c>
      <c r="F86" s="51" t="s">
        <v>378</v>
      </c>
      <c r="G86" s="22" t="s">
        <v>379</v>
      </c>
      <c r="H86" s="22" t="s">
        <v>51</v>
      </c>
      <c r="I86" s="22" t="s">
        <v>52</v>
      </c>
      <c r="J86" s="22" t="s">
        <v>225</v>
      </c>
      <c r="K86" s="44"/>
      <c r="L86" s="44"/>
      <c r="M86" s="22" t="s">
        <v>119</v>
      </c>
      <c r="N86" s="22" t="s">
        <v>226</v>
      </c>
      <c r="O86" s="22">
        <v>46374</v>
      </c>
      <c r="P86" s="22"/>
      <c r="Q86" s="22"/>
      <c r="R86" s="22"/>
      <c r="S86" s="52">
        <v>3000</v>
      </c>
      <c r="T86" s="52"/>
      <c r="U86" s="22"/>
      <c r="V86" s="22"/>
      <c r="W86" s="22"/>
      <c r="X86" s="22"/>
      <c r="Y86" s="22" t="s">
        <v>42</v>
      </c>
      <c r="Z86" s="22" t="s">
        <v>46</v>
      </c>
      <c r="AA86" s="22"/>
      <c r="AB86" s="22"/>
      <c r="AC86" s="22"/>
      <c r="AD86" s="24" t="s">
        <v>213</v>
      </c>
      <c r="AE86" s="22">
        <v>46147</v>
      </c>
      <c r="AF86" s="22">
        <v>46153</v>
      </c>
      <c r="AG86" s="23"/>
      <c r="AH86" s="23"/>
    </row>
    <row r="87" spans="1:34" ht="14.25">
      <c r="A87" s="11" t="s">
        <v>34</v>
      </c>
      <c r="B87" s="43" t="str">
        <f>CONCATENATE(C87,D87)</f>
        <v>SS27P1</v>
      </c>
      <c r="C87" s="24" t="s">
        <v>35</v>
      </c>
      <c r="D87" s="24" t="s">
        <v>231</v>
      </c>
      <c r="E87" s="22" t="s">
        <v>380</v>
      </c>
      <c r="F87" s="22" t="s">
        <v>381</v>
      </c>
      <c r="G87" s="22" t="s">
        <v>382</v>
      </c>
      <c r="H87" s="22" t="s">
        <v>51</v>
      </c>
      <c r="I87" s="22" t="s">
        <v>52</v>
      </c>
      <c r="J87" s="22" t="s">
        <v>225</v>
      </c>
      <c r="K87" s="22" t="s">
        <v>54</v>
      </c>
      <c r="L87" s="23"/>
      <c r="M87" s="22" t="s">
        <v>272</v>
      </c>
      <c r="N87" s="22" t="s">
        <v>318</v>
      </c>
      <c r="O87" s="22">
        <v>46374</v>
      </c>
      <c r="P87" s="22"/>
      <c r="Q87" s="22"/>
      <c r="R87" s="22"/>
      <c r="S87" s="52"/>
      <c r="T87" s="52"/>
      <c r="U87" s="22"/>
      <c r="V87" s="22"/>
      <c r="W87" s="22"/>
      <c r="X87" s="22"/>
      <c r="Y87" s="22">
        <v>46171</v>
      </c>
      <c r="Z87" s="22"/>
      <c r="AA87" s="22"/>
      <c r="AB87" s="22"/>
      <c r="AC87" s="22"/>
      <c r="AD87" s="22"/>
      <c r="AE87" s="22">
        <v>46170</v>
      </c>
      <c r="AF87" s="22" t="s">
        <v>383</v>
      </c>
      <c r="AG87" s="23"/>
      <c r="AH87" s="23"/>
    </row>
    <row r="88" spans="1:34" ht="14.25">
      <c r="A88" s="11" t="s">
        <v>34</v>
      </c>
      <c r="B88" s="43" t="str">
        <f>CONCATENATE(C88,D88)</f>
        <v>SS27P1</v>
      </c>
      <c r="C88" s="24" t="s">
        <v>35</v>
      </c>
      <c r="D88" s="24" t="s">
        <v>231</v>
      </c>
      <c r="E88" s="22" t="s">
        <v>380</v>
      </c>
      <c r="F88" s="22" t="s">
        <v>384</v>
      </c>
      <c r="G88" s="22" t="s">
        <v>385</v>
      </c>
      <c r="H88" s="22" t="s">
        <v>51</v>
      </c>
      <c r="I88" s="22" t="s">
        <v>52</v>
      </c>
      <c r="J88" s="22" t="s">
        <v>225</v>
      </c>
      <c r="K88" s="22" t="s">
        <v>54</v>
      </c>
      <c r="L88" s="23"/>
      <c r="M88" s="22" t="s">
        <v>130</v>
      </c>
      <c r="N88" s="22" t="s">
        <v>318</v>
      </c>
      <c r="O88" s="22">
        <v>46374</v>
      </c>
      <c r="P88" s="22"/>
      <c r="Q88" s="22"/>
      <c r="R88" s="22"/>
      <c r="S88" s="52"/>
      <c r="T88" s="52"/>
      <c r="U88" s="22"/>
      <c r="V88" s="22"/>
      <c r="W88" s="22"/>
      <c r="X88" s="22"/>
      <c r="Y88" s="22">
        <v>46171</v>
      </c>
      <c r="Z88" s="22"/>
      <c r="AA88" s="22"/>
      <c r="AB88" s="22"/>
      <c r="AC88" s="22"/>
      <c r="AD88" s="22"/>
      <c r="AE88" s="22">
        <v>46170</v>
      </c>
      <c r="AF88" s="22">
        <v>46167</v>
      </c>
      <c r="AG88" s="23"/>
      <c r="AH88" s="23"/>
    </row>
    <row r="89" spans="1:34" ht="14.25">
      <c r="A89" s="11" t="s">
        <v>34</v>
      </c>
      <c r="B89" s="43" t="str">
        <f t="shared" si="5"/>
        <v>SS27P2</v>
      </c>
      <c r="C89" s="24" t="s">
        <v>35</v>
      </c>
      <c r="D89" s="24" t="s">
        <v>310</v>
      </c>
      <c r="E89" s="23" t="s">
        <v>386</v>
      </c>
      <c r="F89" s="23" t="s">
        <v>387</v>
      </c>
      <c r="G89" s="23" t="s">
        <v>388</v>
      </c>
      <c r="H89" s="23" t="s">
        <v>40</v>
      </c>
      <c r="I89" s="23" t="s">
        <v>41</v>
      </c>
      <c r="J89" s="22" t="s">
        <v>225</v>
      </c>
      <c r="K89" s="22" t="s">
        <v>54</v>
      </c>
      <c r="L89" s="23" t="s">
        <v>43</v>
      </c>
      <c r="M89" s="45" t="s">
        <v>272</v>
      </c>
      <c r="N89" s="23" t="s">
        <v>363</v>
      </c>
      <c r="O89" s="22">
        <v>46381</v>
      </c>
      <c r="P89" s="22"/>
      <c r="Q89" s="22"/>
      <c r="R89" s="22"/>
      <c r="S89" s="47">
        <v>5000</v>
      </c>
      <c r="T89" s="48"/>
      <c r="U89" s="49"/>
      <c r="V89" s="49"/>
      <c r="W89" s="49"/>
      <c r="X89" s="50"/>
      <c r="Y89" s="21">
        <v>46090</v>
      </c>
      <c r="Z89" s="22">
        <v>46150</v>
      </c>
      <c r="AA89" s="22">
        <v>46150</v>
      </c>
      <c r="AB89" s="23"/>
      <c r="AC89" s="23"/>
      <c r="AD89" s="24" t="s">
        <v>185</v>
      </c>
      <c r="AE89" s="21">
        <v>46108</v>
      </c>
      <c r="AF89" s="21">
        <v>46125</v>
      </c>
      <c r="AG89" s="23"/>
      <c r="AH89" s="23"/>
    </row>
    <row r="90" spans="1:34" ht="14.25">
      <c r="A90" s="11" t="s">
        <v>34</v>
      </c>
      <c r="B90" s="43" t="str">
        <f t="shared" si="5"/>
        <v>SS27P2</v>
      </c>
      <c r="C90" s="24" t="s">
        <v>35</v>
      </c>
      <c r="D90" s="24" t="s">
        <v>310</v>
      </c>
      <c r="E90" s="23" t="s">
        <v>386</v>
      </c>
      <c r="F90" s="23" t="s">
        <v>389</v>
      </c>
      <c r="G90" s="23" t="s">
        <v>390</v>
      </c>
      <c r="H90" s="23" t="s">
        <v>40</v>
      </c>
      <c r="I90" s="23" t="s">
        <v>41</v>
      </c>
      <c r="J90" s="22" t="s">
        <v>229</v>
      </c>
      <c r="K90" s="22" t="s">
        <v>54</v>
      </c>
      <c r="L90" s="23" t="s">
        <v>43</v>
      </c>
      <c r="M90" s="45" t="s">
        <v>272</v>
      </c>
      <c r="N90" s="23" t="s">
        <v>366</v>
      </c>
      <c r="O90" s="22">
        <v>46381</v>
      </c>
      <c r="P90" s="22"/>
      <c r="Q90" s="22"/>
      <c r="R90" s="22"/>
      <c r="S90" s="47">
        <v>3000</v>
      </c>
      <c r="T90" s="48"/>
      <c r="U90" s="49"/>
      <c r="V90" s="49"/>
      <c r="W90" s="49"/>
      <c r="X90" s="50"/>
      <c r="Y90" s="21">
        <v>46095</v>
      </c>
      <c r="Z90" s="22">
        <v>46147</v>
      </c>
      <c r="AA90" s="22">
        <v>46148</v>
      </c>
      <c r="AB90" s="23"/>
      <c r="AC90" s="23"/>
      <c r="AD90" s="24" t="s">
        <v>185</v>
      </c>
      <c r="AE90" s="21">
        <v>46108</v>
      </c>
      <c r="AF90" s="21">
        <v>46125</v>
      </c>
      <c r="AG90" s="23"/>
      <c r="AH90" s="23"/>
    </row>
    <row r="91" spans="1:34" ht="14.25">
      <c r="A91" s="11" t="s">
        <v>34</v>
      </c>
      <c r="B91" s="43" t="str">
        <f t="shared" si="5"/>
        <v>SS27P2</v>
      </c>
      <c r="C91" s="24" t="s">
        <v>35</v>
      </c>
      <c r="D91" s="24" t="s">
        <v>310</v>
      </c>
      <c r="E91" s="23" t="s">
        <v>386</v>
      </c>
      <c r="F91" s="23" t="s">
        <v>391</v>
      </c>
      <c r="G91" s="23" t="s">
        <v>392</v>
      </c>
      <c r="H91" s="23" t="s">
        <v>40</v>
      </c>
      <c r="I91" s="23" t="s">
        <v>41</v>
      </c>
      <c r="J91" s="22" t="s">
        <v>225</v>
      </c>
      <c r="K91" s="22" t="s">
        <v>54</v>
      </c>
      <c r="L91" s="23" t="s">
        <v>43</v>
      </c>
      <c r="M91" s="45" t="s">
        <v>55</v>
      </c>
      <c r="N91" s="23" t="s">
        <v>363</v>
      </c>
      <c r="O91" s="22">
        <v>46381</v>
      </c>
      <c r="P91" s="22"/>
      <c r="Q91" s="22"/>
      <c r="R91" s="22"/>
      <c r="S91" s="47">
        <v>5000</v>
      </c>
      <c r="T91" s="48"/>
      <c r="U91" s="49"/>
      <c r="V91" s="49"/>
      <c r="W91" s="49"/>
      <c r="X91" s="50"/>
      <c r="Y91" s="21">
        <v>46090</v>
      </c>
      <c r="Z91" s="22">
        <v>46150</v>
      </c>
      <c r="AA91" s="22">
        <v>46150</v>
      </c>
      <c r="AB91" s="23"/>
      <c r="AC91" s="23"/>
      <c r="AD91" s="24" t="s">
        <v>185</v>
      </c>
      <c r="AE91" s="21">
        <v>46108</v>
      </c>
      <c r="AF91" s="21">
        <v>46125</v>
      </c>
      <c r="AG91" s="23"/>
      <c r="AH91" s="23"/>
    </row>
    <row r="92" spans="1:34" ht="14.25">
      <c r="A92" s="11" t="s">
        <v>34</v>
      </c>
      <c r="B92" s="43" t="str">
        <f t="shared" si="5"/>
        <v>SS27P2</v>
      </c>
      <c r="C92" s="24" t="s">
        <v>35</v>
      </c>
      <c r="D92" s="24" t="s">
        <v>310</v>
      </c>
      <c r="E92" s="23" t="s">
        <v>386</v>
      </c>
      <c r="F92" s="23" t="s">
        <v>393</v>
      </c>
      <c r="G92" s="23" t="s">
        <v>394</v>
      </c>
      <c r="H92" s="23" t="s">
        <v>40</v>
      </c>
      <c r="I92" s="23" t="s">
        <v>41</v>
      </c>
      <c r="J92" s="22" t="s">
        <v>229</v>
      </c>
      <c r="K92" s="22"/>
      <c r="L92" s="23"/>
      <c r="M92" s="45" t="s">
        <v>119</v>
      </c>
      <c r="N92" s="23" t="s">
        <v>395</v>
      </c>
      <c r="O92" s="22">
        <v>46381</v>
      </c>
      <c r="P92" s="22"/>
      <c r="Q92" s="22"/>
      <c r="R92" s="22"/>
      <c r="S92" s="47">
        <v>6000</v>
      </c>
      <c r="T92" s="48"/>
      <c r="U92" s="49"/>
      <c r="V92" s="49"/>
      <c r="W92" s="49"/>
      <c r="X92" s="50"/>
      <c r="Y92" s="21">
        <v>46115</v>
      </c>
      <c r="Z92" s="22" t="s">
        <v>46</v>
      </c>
      <c r="AA92" s="22"/>
      <c r="AB92" s="23"/>
      <c r="AC92" s="23"/>
      <c r="AD92" s="24" t="s">
        <v>213</v>
      </c>
      <c r="AE92" s="21">
        <v>46108</v>
      </c>
      <c r="AF92" s="21">
        <v>46121</v>
      </c>
      <c r="AG92" s="23"/>
      <c r="AH92" s="23"/>
    </row>
    <row r="93" spans="1:34" ht="14.25">
      <c r="A93" s="11" t="s">
        <v>34</v>
      </c>
      <c r="B93" s="43" t="str">
        <f>CONCATENATE(C93,D93)</f>
        <v>SS27P2</v>
      </c>
      <c r="C93" s="24" t="s">
        <v>35</v>
      </c>
      <c r="D93" s="24" t="s">
        <v>310</v>
      </c>
      <c r="E93" s="23" t="s">
        <v>37</v>
      </c>
      <c r="F93" s="23" t="s">
        <v>396</v>
      </c>
      <c r="G93" s="23" t="s">
        <v>397</v>
      </c>
      <c r="H93" s="23" t="s">
        <v>40</v>
      </c>
      <c r="I93" s="23" t="s">
        <v>41</v>
      </c>
      <c r="J93" s="22" t="s">
        <v>225</v>
      </c>
      <c r="K93" s="22"/>
      <c r="L93" s="23"/>
      <c r="M93" s="45" t="s">
        <v>119</v>
      </c>
      <c r="N93" s="23" t="s">
        <v>60</v>
      </c>
      <c r="O93" s="22">
        <v>46381</v>
      </c>
      <c r="P93" s="22"/>
      <c r="Q93" s="22"/>
      <c r="R93" s="22"/>
      <c r="S93" s="47">
        <f>8000+4000</f>
        <v>12000</v>
      </c>
      <c r="T93" s="48"/>
      <c r="U93" s="49"/>
      <c r="V93" s="49"/>
      <c r="W93" s="49"/>
      <c r="X93" s="50"/>
      <c r="Y93" s="21">
        <v>46090</v>
      </c>
      <c r="Z93" s="22">
        <v>46142</v>
      </c>
      <c r="AA93" s="22">
        <v>46142</v>
      </c>
      <c r="AB93" s="23"/>
      <c r="AC93" s="23"/>
      <c r="AD93" s="24" t="s">
        <v>398</v>
      </c>
      <c r="AE93" s="21">
        <v>46108</v>
      </c>
      <c r="AF93" s="21">
        <v>46121</v>
      </c>
      <c r="AG93" s="23"/>
      <c r="AH93" s="23"/>
    </row>
    <row r="94" spans="1:34" ht="14.25">
      <c r="A94" s="11" t="s">
        <v>34</v>
      </c>
      <c r="B94" s="43" t="str">
        <f>CONCATENATE(C94,D94)</f>
        <v>SS27P1</v>
      </c>
      <c r="C94" s="24" t="s">
        <v>35</v>
      </c>
      <c r="D94" s="24" t="s">
        <v>231</v>
      </c>
      <c r="E94" s="23" t="s">
        <v>96</v>
      </c>
      <c r="F94" s="23" t="s">
        <v>399</v>
      </c>
      <c r="G94" s="23" t="s">
        <v>400</v>
      </c>
      <c r="H94" s="23" t="s">
        <v>51</v>
      </c>
      <c r="I94" s="23" t="s">
        <v>52</v>
      </c>
      <c r="J94" s="22" t="s">
        <v>401</v>
      </c>
      <c r="K94" s="22"/>
      <c r="L94" s="23"/>
      <c r="M94" s="45" t="s">
        <v>55</v>
      </c>
      <c r="N94" s="23" t="s">
        <v>402</v>
      </c>
      <c r="O94" s="22">
        <v>46388</v>
      </c>
      <c r="P94" s="22"/>
      <c r="Q94" s="22"/>
      <c r="R94" s="22"/>
      <c r="S94" s="47">
        <f>3000+3500</f>
        <v>6500</v>
      </c>
      <c r="T94" s="48"/>
      <c r="U94" s="49"/>
      <c r="V94" s="49"/>
      <c r="W94" s="49"/>
      <c r="X94" s="50"/>
      <c r="Y94" s="21">
        <v>46073</v>
      </c>
      <c r="Z94" s="22">
        <v>46142</v>
      </c>
      <c r="AA94" s="22">
        <v>46142</v>
      </c>
      <c r="AB94" s="23"/>
      <c r="AC94" s="23"/>
      <c r="AD94" s="24" t="s">
        <v>403</v>
      </c>
      <c r="AE94" s="21">
        <v>46114</v>
      </c>
      <c r="AF94" s="21">
        <v>46126</v>
      </c>
      <c r="AG94" s="23"/>
      <c r="AH94" s="23"/>
    </row>
    <row r="95" spans="1:34" ht="14.25">
      <c r="A95" s="11" t="s">
        <v>34</v>
      </c>
      <c r="B95" s="22" t="str">
        <f>CONCATENATE(C95,D95)</f>
        <v>SS27P2</v>
      </c>
      <c r="C95" s="22" t="s">
        <v>35</v>
      </c>
      <c r="D95" s="22" t="s">
        <v>310</v>
      </c>
      <c r="E95" s="22" t="s">
        <v>37</v>
      </c>
      <c r="F95" s="51" t="s">
        <v>404</v>
      </c>
      <c r="G95" s="22" t="s">
        <v>405</v>
      </c>
      <c r="H95" s="22" t="s">
        <v>51</v>
      </c>
      <c r="I95" s="22" t="s">
        <v>52</v>
      </c>
      <c r="J95" s="22" t="s">
        <v>225</v>
      </c>
      <c r="K95" s="44"/>
      <c r="L95" s="44"/>
      <c r="M95" s="22" t="s">
        <v>119</v>
      </c>
      <c r="N95" s="22" t="s">
        <v>60</v>
      </c>
      <c r="O95" s="22">
        <v>46388</v>
      </c>
      <c r="P95" s="22"/>
      <c r="Q95" s="22"/>
      <c r="R95" s="22"/>
      <c r="S95" s="52">
        <f>6200+6200</f>
        <v>12400</v>
      </c>
      <c r="T95" s="52"/>
      <c r="U95" s="22"/>
      <c r="V95" s="22"/>
      <c r="W95" s="22"/>
      <c r="X95" s="22"/>
      <c r="Y95" s="22">
        <v>46090</v>
      </c>
      <c r="Z95" s="22" t="s">
        <v>42</v>
      </c>
      <c r="AA95" s="22"/>
      <c r="AB95" s="22"/>
      <c r="AC95" s="22"/>
      <c r="AD95" s="22" t="s">
        <v>406</v>
      </c>
      <c r="AE95" s="22">
        <v>46147</v>
      </c>
      <c r="AF95" s="22" t="s">
        <v>383</v>
      </c>
      <c r="AG95" s="23"/>
      <c r="AH95" s="23"/>
    </row>
    <row r="96" spans="1:34" ht="14.25">
      <c r="A96" s="11" t="s">
        <v>34</v>
      </c>
      <c r="B96" s="23" t="str">
        <f>CONCATENATE(C96,D96)</f>
        <v>SS27P1</v>
      </c>
      <c r="C96" s="23" t="s">
        <v>35</v>
      </c>
      <c r="D96" s="23" t="s">
        <v>231</v>
      </c>
      <c r="E96" s="53" t="s">
        <v>37</v>
      </c>
      <c r="F96" s="51" t="s">
        <v>407</v>
      </c>
      <c r="G96" s="22" t="s">
        <v>408</v>
      </c>
      <c r="H96" s="22" t="s">
        <v>40</v>
      </c>
      <c r="I96" s="22" t="s">
        <v>41</v>
      </c>
      <c r="J96" s="22" t="s">
        <v>225</v>
      </c>
      <c r="K96" s="44"/>
      <c r="L96" s="44"/>
      <c r="M96" s="22" t="s">
        <v>119</v>
      </c>
      <c r="N96" s="23" t="s">
        <v>230</v>
      </c>
      <c r="O96" s="22">
        <v>46402</v>
      </c>
      <c r="P96" s="22"/>
      <c r="Q96" s="22"/>
      <c r="R96" s="22"/>
      <c r="S96" s="47">
        <v>9500</v>
      </c>
      <c r="T96" s="48"/>
      <c r="U96" s="49"/>
      <c r="V96" s="49"/>
      <c r="W96" s="49"/>
      <c r="X96" s="50"/>
      <c r="Y96" s="22" t="s">
        <v>46</v>
      </c>
      <c r="Z96" s="22" t="s">
        <v>46</v>
      </c>
      <c r="AA96" s="22"/>
      <c r="AB96" s="22"/>
      <c r="AC96" s="22"/>
      <c r="AD96" s="22" t="s">
        <v>47</v>
      </c>
      <c r="AE96" s="22">
        <v>46140</v>
      </c>
      <c r="AF96" s="22">
        <v>46153</v>
      </c>
      <c r="AG96" s="22"/>
      <c r="AH96" s="22"/>
    </row>
    <row r="97" spans="1:34" ht="14.25">
      <c r="A97" s="11" t="s">
        <v>34</v>
      </c>
      <c r="B97" s="43" t="str">
        <f t="shared" si="5"/>
        <v>SS27P2</v>
      </c>
      <c r="C97" s="24" t="s">
        <v>35</v>
      </c>
      <c r="D97" s="24" t="s">
        <v>310</v>
      </c>
      <c r="E97" s="23" t="s">
        <v>409</v>
      </c>
      <c r="F97" s="23" t="s">
        <v>410</v>
      </c>
      <c r="G97" s="23" t="s">
        <v>411</v>
      </c>
      <c r="H97" s="23" t="s">
        <v>40</v>
      </c>
      <c r="I97" s="23" t="s">
        <v>412</v>
      </c>
      <c r="J97" s="22" t="s">
        <v>225</v>
      </c>
      <c r="K97" s="22"/>
      <c r="L97" s="23"/>
      <c r="M97" s="45" t="s">
        <v>272</v>
      </c>
      <c r="N97" s="23" t="s">
        <v>99</v>
      </c>
      <c r="O97" s="22">
        <v>46402</v>
      </c>
      <c r="P97" s="22"/>
      <c r="Q97" s="22"/>
      <c r="R97" s="22"/>
      <c r="S97" s="47"/>
      <c r="T97" s="48"/>
      <c r="U97" s="49"/>
      <c r="V97" s="49"/>
      <c r="W97" s="49"/>
      <c r="X97" s="50"/>
      <c r="Y97" s="21">
        <v>46137</v>
      </c>
      <c r="Z97" s="22">
        <v>46171</v>
      </c>
      <c r="AA97" s="22"/>
      <c r="AB97" s="23"/>
      <c r="AC97" s="23"/>
      <c r="AD97" s="24" t="s">
        <v>413</v>
      </c>
      <c r="AE97" s="21">
        <v>46133</v>
      </c>
      <c r="AF97" s="21">
        <v>46134</v>
      </c>
      <c r="AG97" s="23"/>
      <c r="AH97" s="23"/>
    </row>
    <row r="98" spans="1:34" ht="14.25">
      <c r="A98" s="11" t="s">
        <v>34</v>
      </c>
      <c r="B98" s="43" t="str">
        <f t="shared" si="5"/>
        <v>SS27P2</v>
      </c>
      <c r="C98" s="24" t="s">
        <v>35</v>
      </c>
      <c r="D98" s="24" t="s">
        <v>310</v>
      </c>
      <c r="E98" s="23" t="s">
        <v>409</v>
      </c>
      <c r="F98" s="23" t="s">
        <v>414</v>
      </c>
      <c r="G98" s="23" t="s">
        <v>415</v>
      </c>
      <c r="H98" s="23" t="s">
        <v>40</v>
      </c>
      <c r="I98" s="23" t="s">
        <v>412</v>
      </c>
      <c r="J98" s="22" t="s">
        <v>225</v>
      </c>
      <c r="K98" s="22"/>
      <c r="L98" s="23"/>
      <c r="M98" s="45" t="s">
        <v>119</v>
      </c>
      <c r="N98" s="23" t="s">
        <v>416</v>
      </c>
      <c r="O98" s="22">
        <v>46402</v>
      </c>
      <c r="P98" s="22"/>
      <c r="Q98" s="22"/>
      <c r="R98" s="22"/>
      <c r="S98" s="47"/>
      <c r="T98" s="48"/>
      <c r="U98" s="49"/>
      <c r="V98" s="49"/>
      <c r="W98" s="49"/>
      <c r="X98" s="50"/>
      <c r="Y98" s="21">
        <v>46140</v>
      </c>
      <c r="Z98" s="22">
        <v>46162</v>
      </c>
      <c r="AA98" s="22">
        <v>46154</v>
      </c>
      <c r="AB98" s="23"/>
      <c r="AC98" s="23"/>
      <c r="AD98" s="24" t="s">
        <v>371</v>
      </c>
      <c r="AE98" s="21">
        <v>46133</v>
      </c>
      <c r="AF98" s="21">
        <v>46134</v>
      </c>
      <c r="AG98" s="23"/>
      <c r="AH98" s="23"/>
    </row>
    <row r="99" spans="1:34" ht="14.25">
      <c r="A99" s="11" t="s">
        <v>34</v>
      </c>
      <c r="B99" s="43" t="str">
        <f t="shared" si="5"/>
        <v>SS27P2</v>
      </c>
      <c r="C99" s="24" t="s">
        <v>35</v>
      </c>
      <c r="D99" s="24" t="s">
        <v>310</v>
      </c>
      <c r="E99" s="23" t="s">
        <v>409</v>
      </c>
      <c r="F99" s="55" t="s">
        <v>417</v>
      </c>
      <c r="G99" s="23" t="s">
        <v>418</v>
      </c>
      <c r="H99" s="23" t="s">
        <v>40</v>
      </c>
      <c r="I99" s="23" t="s">
        <v>412</v>
      </c>
      <c r="J99" s="22" t="s">
        <v>225</v>
      </c>
      <c r="K99" s="22"/>
      <c r="L99" s="23"/>
      <c r="M99" s="45" t="s">
        <v>119</v>
      </c>
      <c r="N99" s="23" t="s">
        <v>419</v>
      </c>
      <c r="O99" s="22">
        <v>46402</v>
      </c>
      <c r="P99" s="22"/>
      <c r="Q99" s="22"/>
      <c r="R99" s="22"/>
      <c r="S99" s="47"/>
      <c r="T99" s="48"/>
      <c r="U99" s="49"/>
      <c r="V99" s="49"/>
      <c r="W99" s="49"/>
      <c r="X99" s="50"/>
      <c r="Y99" s="21">
        <v>46140</v>
      </c>
      <c r="Z99" s="22">
        <v>46171</v>
      </c>
      <c r="AA99" s="22">
        <v>46168</v>
      </c>
      <c r="AB99" s="23"/>
      <c r="AC99" s="23"/>
      <c r="AD99" s="24" t="s">
        <v>420</v>
      </c>
      <c r="AE99" s="21">
        <v>46133</v>
      </c>
      <c r="AF99" s="21">
        <v>46134</v>
      </c>
      <c r="AG99" s="23"/>
      <c r="AH99" s="23"/>
    </row>
    <row r="100" spans="1:34" ht="14.25">
      <c r="A100" s="11" t="s">
        <v>34</v>
      </c>
      <c r="B100" s="22" t="str">
        <f t="shared" si="5"/>
        <v>SS27P2</v>
      </c>
      <c r="C100" s="22" t="s">
        <v>35</v>
      </c>
      <c r="D100" s="22" t="s">
        <v>310</v>
      </c>
      <c r="E100" s="22" t="s">
        <v>421</v>
      </c>
      <c r="F100" s="51" t="s">
        <v>422</v>
      </c>
      <c r="G100" s="22" t="s">
        <v>423</v>
      </c>
      <c r="H100" s="22" t="s">
        <v>108</v>
      </c>
      <c r="I100" s="22" t="s">
        <v>109</v>
      </c>
      <c r="J100" s="22" t="s">
        <v>229</v>
      </c>
      <c r="K100" s="44"/>
      <c r="L100" s="44"/>
      <c r="M100" s="22" t="s">
        <v>349</v>
      </c>
      <c r="N100" s="22" t="s">
        <v>276</v>
      </c>
      <c r="O100" s="22">
        <v>46402</v>
      </c>
      <c r="P100" s="22"/>
      <c r="Q100" s="22"/>
      <c r="R100" s="22"/>
      <c r="S100" s="52"/>
      <c r="T100" s="52"/>
      <c r="U100" s="22"/>
      <c r="V100" s="22"/>
      <c r="W100" s="22"/>
      <c r="X100" s="22"/>
      <c r="Y100" s="22" t="s">
        <v>42</v>
      </c>
      <c r="Z100" s="22" t="s">
        <v>46</v>
      </c>
      <c r="AA100" s="22"/>
      <c r="AB100" s="22"/>
      <c r="AC100" s="22"/>
      <c r="AD100" s="22" t="s">
        <v>213</v>
      </c>
      <c r="AE100" s="22">
        <v>46146</v>
      </c>
      <c r="AF100" s="22">
        <v>46153</v>
      </c>
      <c r="AG100" s="23"/>
      <c r="AH100" s="23"/>
    </row>
    <row r="101" spans="1:34" ht="14.25">
      <c r="A101" s="11" t="s">
        <v>34</v>
      </c>
      <c r="B101" s="22" t="str">
        <f>CONCATENATE(C101,D101)</f>
        <v>SS27P2</v>
      </c>
      <c r="C101" s="22" t="s">
        <v>35</v>
      </c>
      <c r="D101" s="22" t="s">
        <v>310</v>
      </c>
      <c r="E101" s="22" t="s">
        <v>421</v>
      </c>
      <c r="F101" s="51" t="s">
        <v>424</v>
      </c>
      <c r="G101" s="22" t="s">
        <v>425</v>
      </c>
      <c r="H101" s="22" t="s">
        <v>108</v>
      </c>
      <c r="I101" s="22" t="s">
        <v>109</v>
      </c>
      <c r="J101" s="22" t="s">
        <v>229</v>
      </c>
      <c r="K101" s="44"/>
      <c r="L101" s="44"/>
      <c r="M101" s="22" t="s">
        <v>110</v>
      </c>
      <c r="N101" s="22" t="s">
        <v>42</v>
      </c>
      <c r="O101" s="22">
        <v>46402</v>
      </c>
      <c r="P101" s="22"/>
      <c r="Q101" s="22"/>
      <c r="R101" s="22"/>
      <c r="S101" s="52"/>
      <c r="T101" s="52"/>
      <c r="U101" s="22"/>
      <c r="V101" s="22"/>
      <c r="W101" s="22"/>
      <c r="X101" s="22"/>
      <c r="Y101" s="22">
        <v>46137</v>
      </c>
      <c r="Z101" s="22">
        <v>46177</v>
      </c>
      <c r="AA101" s="22"/>
      <c r="AB101" s="22"/>
      <c r="AC101" s="22"/>
      <c r="AD101" s="24" t="s">
        <v>426</v>
      </c>
      <c r="AE101" s="22">
        <v>46146</v>
      </c>
      <c r="AF101" s="22">
        <v>46153</v>
      </c>
      <c r="AG101" s="23"/>
      <c r="AH101" s="23"/>
    </row>
    <row r="102" spans="1:34" ht="14.25">
      <c r="A102" s="11" t="s">
        <v>34</v>
      </c>
      <c r="B102" s="22" t="str">
        <f>CONCATENATE(C102,D102)</f>
        <v>SS27P2</v>
      </c>
      <c r="C102" s="22" t="s">
        <v>35</v>
      </c>
      <c r="D102" s="22" t="s">
        <v>310</v>
      </c>
      <c r="E102" s="22" t="s">
        <v>37</v>
      </c>
      <c r="F102" s="51" t="s">
        <v>427</v>
      </c>
      <c r="G102" s="22" t="s">
        <v>428</v>
      </c>
      <c r="H102" s="22" t="s">
        <v>51</v>
      </c>
      <c r="I102" s="22" t="s">
        <v>52</v>
      </c>
      <c r="J102" s="22" t="s">
        <v>225</v>
      </c>
      <c r="K102" s="44"/>
      <c r="L102" s="44"/>
      <c r="M102" s="22" t="s">
        <v>119</v>
      </c>
      <c r="N102" s="22" t="s">
        <v>313</v>
      </c>
      <c r="O102" s="22">
        <v>46409</v>
      </c>
      <c r="P102" s="22"/>
      <c r="Q102" s="22"/>
      <c r="R102" s="22"/>
      <c r="S102" s="52">
        <v>6000</v>
      </c>
      <c r="T102" s="52"/>
      <c r="U102" s="22"/>
      <c r="V102" s="22"/>
      <c r="W102" s="22"/>
      <c r="X102" s="22"/>
      <c r="Y102" s="22">
        <v>46087</v>
      </c>
      <c r="Z102" s="22" t="s">
        <v>46</v>
      </c>
      <c r="AA102" s="22"/>
      <c r="AB102" s="22"/>
      <c r="AC102" s="22"/>
      <c r="AD102" s="22" t="s">
        <v>213</v>
      </c>
      <c r="AE102" s="22">
        <v>46147</v>
      </c>
      <c r="AF102" s="22">
        <v>46154</v>
      </c>
      <c r="AG102" s="23"/>
      <c r="AH102" s="23"/>
    </row>
    <row r="103" spans="1:34" ht="14.25">
      <c r="A103" s="11" t="s">
        <v>34</v>
      </c>
      <c r="B103" s="22" t="str">
        <f>CONCATENATE(C103,D103)</f>
        <v>SS27P2</v>
      </c>
      <c r="C103" s="22" t="s">
        <v>35</v>
      </c>
      <c r="D103" s="22" t="s">
        <v>310</v>
      </c>
      <c r="E103" s="22" t="s">
        <v>37</v>
      </c>
      <c r="F103" s="51" t="s">
        <v>429</v>
      </c>
      <c r="G103" s="22" t="s">
        <v>430</v>
      </c>
      <c r="H103" s="22" t="s">
        <v>51</v>
      </c>
      <c r="I103" s="22" t="s">
        <v>52</v>
      </c>
      <c r="J103" s="22" t="s">
        <v>225</v>
      </c>
      <c r="K103" s="44"/>
      <c r="L103" s="44"/>
      <c r="M103" s="22" t="s">
        <v>119</v>
      </c>
      <c r="N103" s="22" t="s">
        <v>431</v>
      </c>
      <c r="O103" s="22">
        <v>46409</v>
      </c>
      <c r="P103" s="22"/>
      <c r="Q103" s="22"/>
      <c r="R103" s="22"/>
      <c r="S103" s="52">
        <v>6200</v>
      </c>
      <c r="T103" s="52"/>
      <c r="U103" s="22"/>
      <c r="V103" s="22"/>
      <c r="W103" s="22"/>
      <c r="X103" s="22"/>
      <c r="Y103" s="22">
        <v>46087</v>
      </c>
      <c r="Z103" s="22" t="s">
        <v>46</v>
      </c>
      <c r="AA103" s="22"/>
      <c r="AB103" s="22"/>
      <c r="AC103" s="22"/>
      <c r="AD103" s="22" t="s">
        <v>213</v>
      </c>
      <c r="AE103" s="22">
        <v>46147</v>
      </c>
      <c r="AF103" s="22">
        <v>46154</v>
      </c>
      <c r="AG103" s="23"/>
      <c r="AH103" s="23"/>
    </row>
    <row r="104" spans="1:34" ht="14.25">
      <c r="A104" s="11" t="s">
        <v>34</v>
      </c>
      <c r="B104" s="22" t="str">
        <f>CONCATENATE(C104,D104)</f>
        <v>SS27P2</v>
      </c>
      <c r="C104" s="22" t="s">
        <v>35</v>
      </c>
      <c r="D104" s="22" t="s">
        <v>310</v>
      </c>
      <c r="E104" s="22" t="s">
        <v>37</v>
      </c>
      <c r="F104" s="51" t="s">
        <v>432</v>
      </c>
      <c r="G104" s="22" t="s">
        <v>433</v>
      </c>
      <c r="H104" s="22" t="s">
        <v>51</v>
      </c>
      <c r="I104" s="22" t="s">
        <v>52</v>
      </c>
      <c r="J104" s="22" t="s">
        <v>225</v>
      </c>
      <c r="K104" s="44"/>
      <c r="L104" s="44"/>
      <c r="M104" s="22" t="s">
        <v>119</v>
      </c>
      <c r="N104" s="22" t="s">
        <v>434</v>
      </c>
      <c r="O104" s="22">
        <v>46409</v>
      </c>
      <c r="P104" s="22"/>
      <c r="Q104" s="22"/>
      <c r="R104" s="22"/>
      <c r="S104" s="52">
        <v>4000</v>
      </c>
      <c r="T104" s="52"/>
      <c r="U104" s="22"/>
      <c r="V104" s="22"/>
      <c r="W104" s="22"/>
      <c r="X104" s="22"/>
      <c r="Y104" s="22">
        <v>46116</v>
      </c>
      <c r="Z104" s="22" t="s">
        <v>42</v>
      </c>
      <c r="AA104" s="22"/>
      <c r="AB104" s="22"/>
      <c r="AC104" s="22"/>
      <c r="AD104" s="22" t="s">
        <v>406</v>
      </c>
      <c r="AE104" s="22">
        <v>46147</v>
      </c>
      <c r="AF104" s="22" t="s">
        <v>383</v>
      </c>
      <c r="AG104" s="23"/>
      <c r="AH104" s="23"/>
    </row>
    <row r="105" spans="1:34" ht="14.25">
      <c r="A105" s="11" t="s">
        <v>34</v>
      </c>
      <c r="B105" s="23" t="str">
        <f t="shared" ref="B105:B107" si="6">CONCATENATE(C105,D105)</f>
        <v>SS27P2</v>
      </c>
      <c r="C105" s="23" t="s">
        <v>35</v>
      </c>
      <c r="D105" s="23" t="s">
        <v>310</v>
      </c>
      <c r="E105" s="22" t="s">
        <v>435</v>
      </c>
      <c r="F105" s="46" t="s">
        <v>436</v>
      </c>
      <c r="G105" s="22" t="s">
        <v>437</v>
      </c>
      <c r="H105" s="22" t="s">
        <v>40</v>
      </c>
      <c r="I105" s="22" t="s">
        <v>41</v>
      </c>
      <c r="J105" s="22" t="s">
        <v>225</v>
      </c>
      <c r="K105" s="22" t="s">
        <v>54</v>
      </c>
      <c r="L105" s="23"/>
      <c r="M105" s="22" t="s">
        <v>272</v>
      </c>
      <c r="N105" s="22" t="s">
        <v>438</v>
      </c>
      <c r="O105" s="22">
        <v>46416</v>
      </c>
      <c r="P105" s="22"/>
      <c r="Q105" s="22"/>
      <c r="R105" s="22"/>
      <c r="S105" s="52"/>
      <c r="T105" s="52"/>
      <c r="U105" s="22"/>
      <c r="V105" s="22"/>
      <c r="W105" s="22"/>
      <c r="X105" s="22"/>
      <c r="Y105" s="22">
        <v>46115</v>
      </c>
      <c r="Z105" s="22" t="s">
        <v>42</v>
      </c>
      <c r="AA105" s="22"/>
      <c r="AB105" s="22"/>
      <c r="AC105" s="22"/>
      <c r="AD105" s="22" t="s">
        <v>439</v>
      </c>
      <c r="AE105" s="22">
        <v>46146</v>
      </c>
      <c r="AF105" s="22" t="s">
        <v>383</v>
      </c>
      <c r="AG105" s="23"/>
      <c r="AH105" s="23"/>
    </row>
    <row r="106" spans="1:34" ht="14.25">
      <c r="A106" s="11" t="s">
        <v>34</v>
      </c>
      <c r="B106" s="22" t="str">
        <f t="shared" si="6"/>
        <v>SS27P2</v>
      </c>
      <c r="C106" s="22" t="s">
        <v>35</v>
      </c>
      <c r="D106" s="22" t="s">
        <v>310</v>
      </c>
      <c r="E106" s="22" t="s">
        <v>435</v>
      </c>
      <c r="F106" s="46" t="s">
        <v>440</v>
      </c>
      <c r="G106" s="22" t="s">
        <v>441</v>
      </c>
      <c r="H106" s="22" t="s">
        <v>40</v>
      </c>
      <c r="I106" s="22" t="s">
        <v>41</v>
      </c>
      <c r="J106" s="22" t="s">
        <v>225</v>
      </c>
      <c r="K106" s="22" t="s">
        <v>54</v>
      </c>
      <c r="L106" s="23"/>
      <c r="M106" s="22" t="s">
        <v>272</v>
      </c>
      <c r="N106" s="22" t="s">
        <v>442</v>
      </c>
      <c r="O106" s="22">
        <v>46416</v>
      </c>
      <c r="P106" s="22"/>
      <c r="Q106" s="22"/>
      <c r="R106" s="22"/>
      <c r="S106" s="52"/>
      <c r="T106" s="52"/>
      <c r="U106" s="22"/>
      <c r="V106" s="22"/>
      <c r="W106" s="22"/>
      <c r="X106" s="22"/>
      <c r="Y106" s="22">
        <v>46102</v>
      </c>
      <c r="Z106" s="22">
        <v>46177</v>
      </c>
      <c r="AA106" s="22"/>
      <c r="AB106" s="22"/>
      <c r="AC106" s="22"/>
      <c r="AD106" s="22" t="s">
        <v>426</v>
      </c>
      <c r="AE106" s="22">
        <v>46146</v>
      </c>
      <c r="AF106" s="22">
        <v>46153</v>
      </c>
      <c r="AG106" s="23"/>
      <c r="AH106" s="23"/>
    </row>
    <row r="107" spans="1:34" ht="14.25">
      <c r="A107" s="11" t="s">
        <v>34</v>
      </c>
      <c r="B107" s="22" t="str">
        <f t="shared" si="6"/>
        <v>SS27P2</v>
      </c>
      <c r="C107" s="22" t="s">
        <v>35</v>
      </c>
      <c r="D107" s="22" t="s">
        <v>310</v>
      </c>
      <c r="E107" s="22" t="s">
        <v>435</v>
      </c>
      <c r="F107" s="51" t="s">
        <v>443</v>
      </c>
      <c r="G107" s="22" t="s">
        <v>444</v>
      </c>
      <c r="H107" s="22" t="s">
        <v>40</v>
      </c>
      <c r="I107" s="22" t="s">
        <v>41</v>
      </c>
      <c r="J107" s="22" t="s">
        <v>225</v>
      </c>
      <c r="K107" s="22"/>
      <c r="L107" s="23"/>
      <c r="M107" s="22" t="s">
        <v>119</v>
      </c>
      <c r="N107" s="22" t="s">
        <v>445</v>
      </c>
      <c r="O107" s="22">
        <v>46416</v>
      </c>
      <c r="P107" s="22"/>
      <c r="Q107" s="22"/>
      <c r="R107" s="22"/>
      <c r="S107" s="52"/>
      <c r="T107" s="52"/>
      <c r="U107" s="22"/>
      <c r="V107" s="22"/>
      <c r="W107" s="22"/>
      <c r="X107" s="22"/>
      <c r="Y107" s="22">
        <v>46109</v>
      </c>
      <c r="Z107" s="22">
        <v>46177</v>
      </c>
      <c r="AA107" s="22"/>
      <c r="AB107" s="22"/>
      <c r="AC107" s="22"/>
      <c r="AD107" s="22" t="s">
        <v>426</v>
      </c>
      <c r="AE107" s="22">
        <v>46146</v>
      </c>
      <c r="AF107" s="22">
        <v>46153</v>
      </c>
      <c r="AG107" s="23"/>
      <c r="AH107" s="23"/>
    </row>
    <row r="108" spans="1:34" ht="14.25">
      <c r="A108" s="11" t="s">
        <v>34</v>
      </c>
      <c r="B108" s="43" t="str">
        <f t="shared" si="5"/>
        <v>SS27P2</v>
      </c>
      <c r="C108" s="24" t="s">
        <v>35</v>
      </c>
      <c r="D108" s="24" t="s">
        <v>310</v>
      </c>
      <c r="E108" s="22" t="s">
        <v>37</v>
      </c>
      <c r="F108" s="23" t="s">
        <v>446</v>
      </c>
      <c r="G108" s="23" t="s">
        <v>447</v>
      </c>
      <c r="H108" s="23" t="s">
        <v>40</v>
      </c>
      <c r="I108" s="23" t="s">
        <v>41</v>
      </c>
      <c r="J108" s="22" t="s">
        <v>225</v>
      </c>
      <c r="K108" s="22"/>
      <c r="L108" s="23"/>
      <c r="M108" s="22" t="s">
        <v>119</v>
      </c>
      <c r="N108" s="23" t="s">
        <v>448</v>
      </c>
      <c r="O108" s="22">
        <v>46416</v>
      </c>
      <c r="P108" s="22"/>
      <c r="Q108" s="22"/>
      <c r="R108" s="22"/>
      <c r="S108" s="47">
        <f>7500+8500</f>
        <v>16000</v>
      </c>
      <c r="T108" s="48"/>
      <c r="U108" s="49"/>
      <c r="V108" s="49"/>
      <c r="W108" s="49"/>
      <c r="X108" s="50"/>
      <c r="Y108" s="21">
        <v>46085</v>
      </c>
      <c r="Z108" s="22">
        <v>46142</v>
      </c>
      <c r="AA108" s="22">
        <v>46142</v>
      </c>
      <c r="AB108" s="23"/>
      <c r="AC108" s="23"/>
      <c r="AD108" s="24" t="s">
        <v>398</v>
      </c>
      <c r="AE108" s="21">
        <v>46108</v>
      </c>
      <c r="AF108" s="21">
        <v>46121</v>
      </c>
      <c r="AG108" s="23"/>
      <c r="AH108" s="23"/>
    </row>
    <row r="109" spans="1:34" ht="14.25">
      <c r="A109" s="11" t="s">
        <v>34</v>
      </c>
      <c r="B109" s="43" t="str">
        <f t="shared" si="5"/>
        <v>SS27P2</v>
      </c>
      <c r="C109" s="24" t="s">
        <v>35</v>
      </c>
      <c r="D109" s="24" t="s">
        <v>310</v>
      </c>
      <c r="E109" s="22" t="s">
        <v>37</v>
      </c>
      <c r="F109" s="23" t="s">
        <v>449</v>
      </c>
      <c r="G109" s="23" t="s">
        <v>450</v>
      </c>
      <c r="H109" s="23" t="s">
        <v>40</v>
      </c>
      <c r="I109" s="23" t="s">
        <v>41</v>
      </c>
      <c r="J109" s="22" t="s">
        <v>225</v>
      </c>
      <c r="K109" s="22"/>
      <c r="L109" s="23"/>
      <c r="M109" s="22" t="s">
        <v>119</v>
      </c>
      <c r="N109" s="23" t="s">
        <v>451</v>
      </c>
      <c r="O109" s="22">
        <v>46430</v>
      </c>
      <c r="P109" s="22"/>
      <c r="Q109" s="22"/>
      <c r="R109" s="22"/>
      <c r="S109" s="47">
        <v>7000</v>
      </c>
      <c r="T109" s="48"/>
      <c r="U109" s="22"/>
      <c r="V109" s="22"/>
      <c r="W109" s="22"/>
      <c r="X109" s="22"/>
      <c r="Y109" s="22">
        <v>46127</v>
      </c>
      <c r="Z109" s="22">
        <v>46147</v>
      </c>
      <c r="AA109" s="22">
        <v>46148</v>
      </c>
      <c r="AB109" s="22"/>
      <c r="AC109" s="22"/>
      <c r="AD109" s="22" t="s">
        <v>452</v>
      </c>
      <c r="AE109" s="22">
        <v>46108</v>
      </c>
      <c r="AF109" s="22">
        <v>46121</v>
      </c>
      <c r="AG109" s="23"/>
      <c r="AH109" s="23"/>
    </row>
    <row r="110" spans="1:34" ht="14.25">
      <c r="A110" s="11" t="s">
        <v>34</v>
      </c>
      <c r="B110" s="43" t="str">
        <f>CONCATENATE(C110,D110)</f>
        <v>SS27P2</v>
      </c>
      <c r="C110" s="24" t="s">
        <v>35</v>
      </c>
      <c r="D110" s="24" t="s">
        <v>310</v>
      </c>
      <c r="E110" s="22" t="s">
        <v>37</v>
      </c>
      <c r="F110" s="23" t="s">
        <v>453</v>
      </c>
      <c r="G110" s="23" t="s">
        <v>454</v>
      </c>
      <c r="H110" s="23" t="s">
        <v>40</v>
      </c>
      <c r="I110" s="23" t="s">
        <v>41</v>
      </c>
      <c r="J110" s="22" t="s">
        <v>229</v>
      </c>
      <c r="K110" s="22"/>
      <c r="L110" s="23"/>
      <c r="M110" s="22" t="s">
        <v>119</v>
      </c>
      <c r="N110" s="23" t="s">
        <v>395</v>
      </c>
      <c r="O110" s="22">
        <v>46430</v>
      </c>
      <c r="P110" s="22"/>
      <c r="Q110" s="22"/>
      <c r="R110" s="22"/>
      <c r="S110" s="47">
        <v>4000</v>
      </c>
      <c r="T110" s="48"/>
      <c r="U110" s="49"/>
      <c r="V110" s="49"/>
      <c r="W110" s="49"/>
      <c r="X110" s="50"/>
      <c r="Y110" s="21">
        <v>46080</v>
      </c>
      <c r="Z110" s="22">
        <v>46142</v>
      </c>
      <c r="AA110" s="22">
        <v>46142</v>
      </c>
      <c r="AB110" s="23"/>
      <c r="AC110" s="23"/>
      <c r="AD110" s="24" t="s">
        <v>455</v>
      </c>
      <c r="AE110" s="21">
        <v>46108</v>
      </c>
      <c r="AF110" s="21">
        <v>46121</v>
      </c>
      <c r="AG110" s="23"/>
      <c r="AH110" s="23"/>
    </row>
    <row r="111" spans="1:34" ht="14.25">
      <c r="A111" s="11" t="s">
        <v>34</v>
      </c>
      <c r="B111" s="22" t="str">
        <f>CONCATENATE(C111,D111)</f>
        <v>SS27P2</v>
      </c>
      <c r="C111" s="22" t="s">
        <v>35</v>
      </c>
      <c r="D111" s="22" t="s">
        <v>310</v>
      </c>
      <c r="E111" s="22" t="s">
        <v>37</v>
      </c>
      <c r="F111" s="51" t="s">
        <v>456</v>
      </c>
      <c r="G111" s="22" t="s">
        <v>457</v>
      </c>
      <c r="H111" s="22" t="s">
        <v>51</v>
      </c>
      <c r="I111" s="22" t="s">
        <v>52</v>
      </c>
      <c r="J111" s="22" t="s">
        <v>225</v>
      </c>
      <c r="K111" s="44"/>
      <c r="L111" s="44"/>
      <c r="M111" s="22" t="s">
        <v>119</v>
      </c>
      <c r="N111" s="22" t="s">
        <v>181</v>
      </c>
      <c r="O111" s="22">
        <v>46430</v>
      </c>
      <c r="P111" s="22"/>
      <c r="Q111" s="22"/>
      <c r="R111" s="22"/>
      <c r="S111" s="52">
        <v>5000</v>
      </c>
      <c r="T111" s="52"/>
      <c r="U111" s="22"/>
      <c r="V111" s="22"/>
      <c r="W111" s="22"/>
      <c r="X111" s="22"/>
      <c r="Y111" s="22" t="s">
        <v>42</v>
      </c>
      <c r="Z111" s="22" t="s">
        <v>46</v>
      </c>
      <c r="AA111" s="22"/>
      <c r="AB111" s="22"/>
      <c r="AC111" s="22"/>
      <c r="AD111" s="22" t="s">
        <v>213</v>
      </c>
      <c r="AE111" s="22">
        <v>46147</v>
      </c>
      <c r="AF111" s="22" t="s">
        <v>383</v>
      </c>
      <c r="AG111" s="23"/>
      <c r="AH111" s="23"/>
    </row>
    <row r="112" spans="1:34" ht="14.25">
      <c r="A112" s="11" t="s">
        <v>34</v>
      </c>
      <c r="B112" s="22" t="str">
        <f>CONCATENATE(C112,D112)</f>
        <v>SS27P2</v>
      </c>
      <c r="C112" s="22" t="s">
        <v>35</v>
      </c>
      <c r="D112" s="22" t="s">
        <v>310</v>
      </c>
      <c r="E112" s="22" t="s">
        <v>37</v>
      </c>
      <c r="F112" s="51" t="s">
        <v>458</v>
      </c>
      <c r="G112" s="22" t="s">
        <v>459</v>
      </c>
      <c r="H112" s="22" t="s">
        <v>51</v>
      </c>
      <c r="I112" s="22" t="s">
        <v>52</v>
      </c>
      <c r="J112" s="22" t="s">
        <v>225</v>
      </c>
      <c r="K112" s="44"/>
      <c r="L112" s="44"/>
      <c r="M112" s="22" t="s">
        <v>119</v>
      </c>
      <c r="N112" s="22" t="s">
        <v>460</v>
      </c>
      <c r="O112" s="22">
        <v>46430</v>
      </c>
      <c r="P112" s="22"/>
      <c r="Q112" s="22"/>
      <c r="R112" s="22"/>
      <c r="S112" s="52">
        <v>5000</v>
      </c>
      <c r="T112" s="52"/>
      <c r="U112" s="22"/>
      <c r="V112" s="22"/>
      <c r="W112" s="22"/>
      <c r="X112" s="22"/>
      <c r="Y112" s="22" t="s">
        <v>42</v>
      </c>
      <c r="Z112" s="22" t="s">
        <v>42</v>
      </c>
      <c r="AA112" s="22"/>
      <c r="AB112" s="22"/>
      <c r="AC112" s="22"/>
      <c r="AD112" s="22" t="s">
        <v>406</v>
      </c>
      <c r="AE112" s="22">
        <v>46147</v>
      </c>
      <c r="AF112" s="22" t="s">
        <v>383</v>
      </c>
      <c r="AG112" s="23"/>
      <c r="AH112" s="23"/>
    </row>
    <row r="113" spans="1:34" ht="14.25">
      <c r="A113" s="11" t="s">
        <v>34</v>
      </c>
      <c r="B113" s="43" t="str">
        <f t="shared" si="5"/>
        <v>SS27P2</v>
      </c>
      <c r="C113" s="24" t="s">
        <v>35</v>
      </c>
      <c r="D113" s="24" t="s">
        <v>310</v>
      </c>
      <c r="E113" s="22" t="s">
        <v>37</v>
      </c>
      <c r="F113" s="22" t="s">
        <v>461</v>
      </c>
      <c r="G113" s="22" t="s">
        <v>462</v>
      </c>
      <c r="H113" s="22" t="s">
        <v>40</v>
      </c>
      <c r="I113" s="22" t="s">
        <v>41</v>
      </c>
      <c r="J113" s="22" t="s">
        <v>225</v>
      </c>
      <c r="K113" s="22" t="s">
        <v>54</v>
      </c>
      <c r="L113" s="23"/>
      <c r="M113" s="22" t="s">
        <v>272</v>
      </c>
      <c r="N113" s="22" t="s">
        <v>463</v>
      </c>
      <c r="O113" s="22">
        <v>46444</v>
      </c>
      <c r="P113" s="22"/>
      <c r="Q113" s="22"/>
      <c r="R113" s="22"/>
      <c r="S113" s="52"/>
      <c r="T113" s="52"/>
      <c r="U113" s="22"/>
      <c r="V113" s="22"/>
      <c r="W113" s="22"/>
      <c r="X113" s="22"/>
      <c r="Y113" s="22">
        <v>46102</v>
      </c>
      <c r="Z113" s="22">
        <v>46171</v>
      </c>
      <c r="AA113" s="22"/>
      <c r="AB113" s="22"/>
      <c r="AC113" s="22"/>
      <c r="AD113" s="22" t="s">
        <v>464</v>
      </c>
      <c r="AE113" s="22">
        <v>46134</v>
      </c>
      <c r="AF113" s="22">
        <v>46134</v>
      </c>
      <c r="AG113" s="23"/>
      <c r="AH113" s="23"/>
    </row>
    <row r="114" spans="1:34" ht="14.25">
      <c r="A114" s="11" t="s">
        <v>34</v>
      </c>
      <c r="B114" s="43" t="str">
        <f t="shared" si="5"/>
        <v>SS27P2</v>
      </c>
      <c r="C114" s="24" t="s">
        <v>35</v>
      </c>
      <c r="D114" s="24" t="s">
        <v>310</v>
      </c>
      <c r="E114" s="22" t="s">
        <v>465</v>
      </c>
      <c r="F114" s="22" t="s">
        <v>466</v>
      </c>
      <c r="G114" s="22" t="s">
        <v>467</v>
      </c>
      <c r="H114" s="22" t="s">
        <v>40</v>
      </c>
      <c r="I114" s="22" t="s">
        <v>41</v>
      </c>
      <c r="J114" s="22" t="s">
        <v>225</v>
      </c>
      <c r="K114" s="22" t="s">
        <v>54</v>
      </c>
      <c r="L114" s="23"/>
      <c r="M114" s="22" t="s">
        <v>272</v>
      </c>
      <c r="N114" s="22" t="s">
        <v>468</v>
      </c>
      <c r="O114" s="22">
        <v>46444</v>
      </c>
      <c r="P114" s="22"/>
      <c r="Q114" s="22"/>
      <c r="R114" s="22"/>
      <c r="S114" s="52"/>
      <c r="T114" s="52"/>
      <c r="U114" s="22"/>
      <c r="V114" s="22"/>
      <c r="W114" s="22"/>
      <c r="X114" s="22"/>
      <c r="Y114" s="22">
        <v>46104</v>
      </c>
      <c r="Z114" s="22">
        <v>46171</v>
      </c>
      <c r="AA114" s="22"/>
      <c r="AB114" s="22"/>
      <c r="AC114" s="22"/>
      <c r="AD114" s="22" t="s">
        <v>464</v>
      </c>
      <c r="AE114" s="22">
        <v>46136</v>
      </c>
      <c r="AF114" s="22">
        <v>46134</v>
      </c>
      <c r="AG114" s="23"/>
      <c r="AH114" s="23"/>
    </row>
    <row r="115" spans="1:34" ht="14.25">
      <c r="A115" s="11" t="s">
        <v>34</v>
      </c>
      <c r="B115" s="23" t="str">
        <f t="shared" si="5"/>
        <v>SS27P2</v>
      </c>
      <c r="C115" s="23" t="s">
        <v>35</v>
      </c>
      <c r="D115" s="23" t="s">
        <v>310</v>
      </c>
      <c r="E115" s="22" t="s">
        <v>465</v>
      </c>
      <c r="F115" s="22" t="s">
        <v>469</v>
      </c>
      <c r="G115" s="46" t="s">
        <v>470</v>
      </c>
      <c r="H115" s="22" t="s">
        <v>40</v>
      </c>
      <c r="I115" s="22" t="s">
        <v>41</v>
      </c>
      <c r="J115" s="22" t="s">
        <v>225</v>
      </c>
      <c r="K115" s="22" t="s">
        <v>54</v>
      </c>
      <c r="L115" s="23"/>
      <c r="M115" s="22" t="s">
        <v>272</v>
      </c>
      <c r="N115" s="22" t="s">
        <v>471</v>
      </c>
      <c r="O115" s="22">
        <v>46444</v>
      </c>
      <c r="P115" s="22"/>
      <c r="Q115" s="22"/>
      <c r="R115" s="22"/>
      <c r="S115" s="52"/>
      <c r="T115" s="52"/>
      <c r="U115" s="22"/>
      <c r="V115" s="22"/>
      <c r="W115" s="22"/>
      <c r="X115" s="22"/>
      <c r="Y115" s="22">
        <v>46114</v>
      </c>
      <c r="Z115" s="22">
        <v>46171</v>
      </c>
      <c r="AA115" s="22"/>
      <c r="AB115" s="22"/>
      <c r="AC115" s="22"/>
      <c r="AD115" s="22" t="s">
        <v>464</v>
      </c>
      <c r="AE115" s="22">
        <v>46136</v>
      </c>
      <c r="AF115" s="22">
        <v>46134</v>
      </c>
      <c r="AG115" s="23"/>
      <c r="AH115" s="23"/>
    </row>
    <row r="116" spans="1:34" ht="14.25">
      <c r="A116" s="11" t="s">
        <v>34</v>
      </c>
      <c r="B116" s="23" t="str">
        <f t="shared" si="5"/>
        <v>SS27P2</v>
      </c>
      <c r="C116" s="23" t="s">
        <v>35</v>
      </c>
      <c r="D116" s="23" t="s">
        <v>310</v>
      </c>
      <c r="E116" s="22" t="s">
        <v>472</v>
      </c>
      <c r="F116" s="46" t="s">
        <v>473</v>
      </c>
      <c r="G116" s="22" t="s">
        <v>474</v>
      </c>
      <c r="H116" s="22" t="s">
        <v>40</v>
      </c>
      <c r="I116" s="22" t="s">
        <v>41</v>
      </c>
      <c r="J116" s="22" t="s">
        <v>225</v>
      </c>
      <c r="K116" s="22"/>
      <c r="L116" s="23"/>
      <c r="M116" s="22" t="s">
        <v>119</v>
      </c>
      <c r="N116" s="22" t="s">
        <v>451</v>
      </c>
      <c r="O116" s="22">
        <v>46451</v>
      </c>
      <c r="P116" s="22"/>
      <c r="Q116" s="22"/>
      <c r="R116" s="22"/>
      <c r="S116" s="52"/>
      <c r="T116" s="52"/>
      <c r="U116" s="22"/>
      <c r="V116" s="22"/>
      <c r="W116" s="22"/>
      <c r="X116" s="22"/>
      <c r="Y116" s="22">
        <v>46100</v>
      </c>
      <c r="Z116" s="22">
        <v>46171</v>
      </c>
      <c r="AA116" s="22"/>
      <c r="AB116" s="22"/>
      <c r="AC116" s="22"/>
      <c r="AD116" s="22" t="s">
        <v>282</v>
      </c>
      <c r="AE116" s="22">
        <v>46146</v>
      </c>
      <c r="AF116" s="22">
        <v>46154</v>
      </c>
      <c r="AG116" s="23"/>
      <c r="AH116" s="23"/>
    </row>
    <row r="117" spans="1:34" ht="14.25">
      <c r="A117" s="11" t="s">
        <v>34</v>
      </c>
      <c r="B117" s="23" t="str">
        <f t="shared" si="5"/>
        <v>SS27P2</v>
      </c>
      <c r="C117" s="23" t="s">
        <v>35</v>
      </c>
      <c r="D117" s="23" t="s">
        <v>310</v>
      </c>
      <c r="E117" s="22" t="s">
        <v>472</v>
      </c>
      <c r="F117" s="46" t="s">
        <v>475</v>
      </c>
      <c r="G117" s="22" t="s">
        <v>476</v>
      </c>
      <c r="H117" s="22" t="s">
        <v>40</v>
      </c>
      <c r="I117" s="22" t="s">
        <v>41</v>
      </c>
      <c r="J117" s="22" t="s">
        <v>225</v>
      </c>
      <c r="K117" s="22" t="s">
        <v>54</v>
      </c>
      <c r="L117" s="23"/>
      <c r="M117" s="22" t="s">
        <v>272</v>
      </c>
      <c r="N117" s="22" t="s">
        <v>318</v>
      </c>
      <c r="O117" s="22">
        <v>46451</v>
      </c>
      <c r="P117" s="22"/>
      <c r="Q117" s="22"/>
      <c r="R117" s="22"/>
      <c r="S117" s="52"/>
      <c r="T117" s="52"/>
      <c r="U117" s="22"/>
      <c r="V117" s="22"/>
      <c r="W117" s="22"/>
      <c r="X117" s="22"/>
      <c r="Y117" s="22">
        <v>46171</v>
      </c>
      <c r="Z117" s="22">
        <v>46184</v>
      </c>
      <c r="AA117" s="22"/>
      <c r="AB117" s="22"/>
      <c r="AC117" s="22"/>
      <c r="AD117" s="22" t="s">
        <v>286</v>
      </c>
      <c r="AE117" s="22">
        <v>46146</v>
      </c>
      <c r="AF117" s="22">
        <v>46154</v>
      </c>
      <c r="AG117" s="23"/>
      <c r="AH117" s="23"/>
    </row>
    <row r="118" spans="1:34" ht="14.25">
      <c r="A118" s="11" t="s">
        <v>34</v>
      </c>
      <c r="B118" s="43" t="str">
        <f t="shared" si="5"/>
        <v>SS27P2</v>
      </c>
      <c r="C118" s="24" t="s">
        <v>35</v>
      </c>
      <c r="D118" s="24" t="s">
        <v>310</v>
      </c>
      <c r="E118" s="22" t="s">
        <v>477</v>
      </c>
      <c r="F118" s="22" t="s">
        <v>478</v>
      </c>
      <c r="G118" s="22" t="s">
        <v>479</v>
      </c>
      <c r="H118" s="22" t="s">
        <v>51</v>
      </c>
      <c r="I118" s="22" t="s">
        <v>52</v>
      </c>
      <c r="J118" s="22" t="s">
        <v>225</v>
      </c>
      <c r="K118" s="22"/>
      <c r="L118" s="23"/>
      <c r="M118" s="22" t="s">
        <v>110</v>
      </c>
      <c r="N118" s="22" t="s">
        <v>480</v>
      </c>
      <c r="O118" s="22">
        <v>46397</v>
      </c>
      <c r="P118" s="22"/>
      <c r="Q118" s="22"/>
      <c r="R118" s="22"/>
      <c r="S118" s="52"/>
      <c r="T118" s="52"/>
      <c r="U118" s="22"/>
      <c r="V118" s="22"/>
      <c r="W118" s="22"/>
      <c r="X118" s="22"/>
      <c r="Y118" s="22">
        <v>46146</v>
      </c>
      <c r="Z118" s="22">
        <v>46174</v>
      </c>
      <c r="AA118" s="22"/>
      <c r="AB118" s="22"/>
      <c r="AC118" s="22"/>
      <c r="AD118" s="22" t="s">
        <v>336</v>
      </c>
      <c r="AE118" s="22">
        <v>46153</v>
      </c>
      <c r="AF118" s="22">
        <v>46153</v>
      </c>
      <c r="AG118" s="23"/>
      <c r="AH118" s="23"/>
    </row>
    <row r="119" spans="1:34" ht="14.25">
      <c r="A119" s="11" t="s">
        <v>34</v>
      </c>
      <c r="B119" s="43" t="str">
        <f t="shared" si="5"/>
        <v>SS27P2</v>
      </c>
      <c r="C119" s="24" t="s">
        <v>35</v>
      </c>
      <c r="D119" s="24" t="s">
        <v>310</v>
      </c>
      <c r="E119" s="22" t="s">
        <v>477</v>
      </c>
      <c r="F119" s="22" t="s">
        <v>481</v>
      </c>
      <c r="G119" s="22" t="s">
        <v>482</v>
      </c>
      <c r="H119" s="22" t="s">
        <v>51</v>
      </c>
      <c r="I119" s="22" t="s">
        <v>52</v>
      </c>
      <c r="J119" s="22" t="s">
        <v>225</v>
      </c>
      <c r="K119" s="22"/>
      <c r="L119" s="23"/>
      <c r="M119" s="22" t="s">
        <v>272</v>
      </c>
      <c r="N119" s="22" t="s">
        <v>99</v>
      </c>
      <c r="O119" s="22">
        <v>46397</v>
      </c>
      <c r="P119" s="22"/>
      <c r="Q119" s="22"/>
      <c r="R119" s="22"/>
      <c r="S119" s="52"/>
      <c r="T119" s="52"/>
      <c r="U119" s="22"/>
      <c r="V119" s="22"/>
      <c r="W119" s="22"/>
      <c r="X119" s="22"/>
      <c r="Y119" s="22" t="s">
        <v>335</v>
      </c>
      <c r="Z119" s="22">
        <v>46174</v>
      </c>
      <c r="AA119" s="22"/>
      <c r="AB119" s="22"/>
      <c r="AC119" s="22"/>
      <c r="AD119" s="22" t="s">
        <v>336</v>
      </c>
      <c r="AE119" s="22">
        <v>46153</v>
      </c>
      <c r="AF119" s="22">
        <v>46153</v>
      </c>
      <c r="AG119" s="23"/>
      <c r="AH119" s="23"/>
    </row>
    <row r="120" spans="1:34" ht="14.25">
      <c r="A120" s="11" t="s">
        <v>34</v>
      </c>
      <c r="B120" s="43" t="str">
        <f t="shared" si="5"/>
        <v>SS27P2</v>
      </c>
      <c r="C120" s="24" t="s">
        <v>35</v>
      </c>
      <c r="D120" s="24" t="s">
        <v>310</v>
      </c>
      <c r="E120" s="22" t="s">
        <v>477</v>
      </c>
      <c r="F120" s="22" t="s">
        <v>483</v>
      </c>
      <c r="G120" s="22" t="s">
        <v>484</v>
      </c>
      <c r="H120" s="22" t="s">
        <v>51</v>
      </c>
      <c r="I120" s="22" t="s">
        <v>52</v>
      </c>
      <c r="J120" s="22" t="s">
        <v>225</v>
      </c>
      <c r="K120" s="22"/>
      <c r="L120" s="23"/>
      <c r="M120" s="22" t="s">
        <v>119</v>
      </c>
      <c r="N120" s="22" t="s">
        <v>419</v>
      </c>
      <c r="O120" s="22">
        <v>46397</v>
      </c>
      <c r="P120" s="22"/>
      <c r="Q120" s="22"/>
      <c r="R120" s="22"/>
      <c r="S120" s="52"/>
      <c r="T120" s="52"/>
      <c r="U120" s="22"/>
      <c r="V120" s="22"/>
      <c r="W120" s="22"/>
      <c r="X120" s="22"/>
      <c r="Y120" s="22" t="s">
        <v>335</v>
      </c>
      <c r="Z120" s="22">
        <v>46174</v>
      </c>
      <c r="AA120" s="22"/>
      <c r="AB120" s="22"/>
      <c r="AC120" s="22"/>
      <c r="AD120" s="22" t="s">
        <v>336</v>
      </c>
      <c r="AE120" s="22">
        <v>46153</v>
      </c>
      <c r="AF120" s="22">
        <v>46153</v>
      </c>
      <c r="AG120" s="23"/>
      <c r="AH120" s="23"/>
    </row>
    <row r="121" spans="1:34" ht="14.25">
      <c r="A121" s="11" t="s">
        <v>34</v>
      </c>
      <c r="B121" s="43" t="str">
        <f t="shared" si="5"/>
        <v>SS27P2</v>
      </c>
      <c r="C121" s="24" t="s">
        <v>35</v>
      </c>
      <c r="D121" s="24" t="s">
        <v>310</v>
      </c>
      <c r="E121" s="22" t="s">
        <v>477</v>
      </c>
      <c r="F121" s="22" t="s">
        <v>485</v>
      </c>
      <c r="G121" s="22" t="s">
        <v>486</v>
      </c>
      <c r="H121" s="22" t="s">
        <v>51</v>
      </c>
      <c r="I121" s="22" t="s">
        <v>52</v>
      </c>
      <c r="J121" s="22" t="s">
        <v>225</v>
      </c>
      <c r="K121" s="22"/>
      <c r="L121" s="23"/>
      <c r="M121" s="22" t="s">
        <v>222</v>
      </c>
      <c r="N121" s="22" t="s">
        <v>99</v>
      </c>
      <c r="O121" s="22">
        <v>46397</v>
      </c>
      <c r="P121" s="22"/>
      <c r="Q121" s="22"/>
      <c r="R121" s="22"/>
      <c r="S121" s="52"/>
      <c r="T121" s="52"/>
      <c r="U121" s="22"/>
      <c r="V121" s="22"/>
      <c r="W121" s="22"/>
      <c r="X121" s="22"/>
      <c r="Y121" s="22" t="s">
        <v>335</v>
      </c>
      <c r="Z121" s="22" t="s">
        <v>46</v>
      </c>
      <c r="AA121" s="22"/>
      <c r="AB121" s="22"/>
      <c r="AC121" s="22"/>
      <c r="AD121" s="22" t="s">
        <v>213</v>
      </c>
      <c r="AE121" s="22">
        <v>46153</v>
      </c>
      <c r="AF121" s="22">
        <v>46153</v>
      </c>
      <c r="AG121" s="23"/>
      <c r="AH121" s="23"/>
    </row>
    <row r="122" spans="1:34" ht="14.25">
      <c r="A122" s="11" t="s">
        <v>34</v>
      </c>
      <c r="B122" s="43" t="str">
        <f t="shared" si="5"/>
        <v>SS27P2</v>
      </c>
      <c r="C122" s="24" t="s">
        <v>35</v>
      </c>
      <c r="D122" s="24" t="s">
        <v>310</v>
      </c>
      <c r="E122" s="22" t="s">
        <v>487</v>
      </c>
      <c r="F122" s="22" t="s">
        <v>488</v>
      </c>
      <c r="G122" s="22" t="s">
        <v>489</v>
      </c>
      <c r="H122" s="22" t="s">
        <v>40</v>
      </c>
      <c r="I122" s="22" t="s">
        <v>41</v>
      </c>
      <c r="J122" s="22" t="s">
        <v>225</v>
      </c>
      <c r="K122" s="22"/>
      <c r="L122" s="23"/>
      <c r="M122" s="22" t="s">
        <v>272</v>
      </c>
      <c r="N122" s="22" t="s">
        <v>490</v>
      </c>
      <c r="O122" s="22">
        <v>46451</v>
      </c>
      <c r="P122" s="22"/>
      <c r="Q122" s="22"/>
      <c r="R122" s="22"/>
      <c r="S122" s="52"/>
      <c r="T122" s="52"/>
      <c r="U122" s="22"/>
      <c r="V122" s="22"/>
      <c r="W122" s="22"/>
      <c r="X122" s="22"/>
      <c r="Y122" s="22">
        <v>46153</v>
      </c>
      <c r="Z122" s="22">
        <v>46174</v>
      </c>
      <c r="AA122" s="22"/>
      <c r="AB122" s="22"/>
      <c r="AC122" s="22"/>
      <c r="AD122" s="22" t="s">
        <v>336</v>
      </c>
      <c r="AE122" s="22">
        <v>46153</v>
      </c>
      <c r="AF122" s="22">
        <v>46153</v>
      </c>
      <c r="AG122" s="23"/>
      <c r="AH122" s="23"/>
    </row>
    <row r="123" spans="1:34" ht="14.25">
      <c r="A123" s="11" t="s">
        <v>34</v>
      </c>
      <c r="B123" s="43" t="str">
        <f>CONCATENATE(C123,D123)</f>
        <v>SS27P2</v>
      </c>
      <c r="C123" s="24" t="s">
        <v>35</v>
      </c>
      <c r="D123" s="24" t="s">
        <v>310</v>
      </c>
      <c r="E123" s="23" t="s">
        <v>491</v>
      </c>
      <c r="F123" s="22" t="s">
        <v>492</v>
      </c>
      <c r="G123" s="22" t="s">
        <v>493</v>
      </c>
      <c r="H123" s="22" t="s">
        <v>40</v>
      </c>
      <c r="I123" s="22" t="s">
        <v>41</v>
      </c>
      <c r="J123" s="22" t="s">
        <v>225</v>
      </c>
      <c r="K123" s="22" t="s">
        <v>54</v>
      </c>
      <c r="L123" s="23"/>
      <c r="M123" s="22" t="s">
        <v>110</v>
      </c>
      <c r="N123" s="23" t="s">
        <v>494</v>
      </c>
      <c r="O123" s="22"/>
      <c r="P123" s="22"/>
      <c r="Q123" s="22"/>
      <c r="R123" s="22"/>
      <c r="S123" s="47"/>
      <c r="T123" s="48"/>
      <c r="U123" s="22"/>
      <c r="V123" s="22"/>
      <c r="W123" s="22"/>
      <c r="X123" s="22"/>
      <c r="Y123" s="22">
        <v>46086</v>
      </c>
      <c r="Z123" s="22">
        <v>46154</v>
      </c>
      <c r="AA123" s="22">
        <v>46154</v>
      </c>
      <c r="AB123" s="22"/>
      <c r="AC123" s="22"/>
      <c r="AD123" s="22" t="s">
        <v>495</v>
      </c>
      <c r="AE123" s="22">
        <v>46120</v>
      </c>
      <c r="AF123" s="22">
        <v>46125</v>
      </c>
      <c r="AG123" s="23"/>
      <c r="AH123" s="23"/>
    </row>
    <row r="124" spans="1:34" ht="14.25">
      <c r="A124" s="11" t="s">
        <v>34</v>
      </c>
      <c r="B124" s="43" t="str">
        <f>CONCATENATE(C124,D124)</f>
        <v>SS27P2</v>
      </c>
      <c r="C124" s="24" t="s">
        <v>35</v>
      </c>
      <c r="D124" s="24" t="s">
        <v>310</v>
      </c>
      <c r="E124" s="23" t="s">
        <v>37</v>
      </c>
      <c r="F124" s="22" t="s">
        <v>496</v>
      </c>
      <c r="G124" s="22" t="s">
        <v>497</v>
      </c>
      <c r="H124" s="22" t="s">
        <v>40</v>
      </c>
      <c r="I124" s="22" t="s">
        <v>41</v>
      </c>
      <c r="J124" s="22" t="s">
        <v>229</v>
      </c>
      <c r="K124" s="22" t="s">
        <v>54</v>
      </c>
      <c r="L124" s="23"/>
      <c r="M124" s="22" t="s">
        <v>272</v>
      </c>
      <c r="N124" s="23" t="s">
        <v>322</v>
      </c>
      <c r="O124" s="22"/>
      <c r="P124" s="22"/>
      <c r="Q124" s="22"/>
      <c r="R124" s="22"/>
      <c r="S124" s="47"/>
      <c r="T124" s="48"/>
      <c r="U124" s="22"/>
      <c r="V124" s="22"/>
      <c r="W124" s="22"/>
      <c r="X124" s="22"/>
      <c r="Y124" s="22">
        <v>46137</v>
      </c>
      <c r="Z124" s="22">
        <v>46164</v>
      </c>
      <c r="AA124" s="22"/>
      <c r="AB124" s="22"/>
      <c r="AC124" s="22"/>
      <c r="AD124" s="22" t="s">
        <v>498</v>
      </c>
      <c r="AE124" s="22">
        <v>46133</v>
      </c>
      <c r="AF124" s="22">
        <v>46134</v>
      </c>
      <c r="AG124" s="23"/>
      <c r="AH124" s="23"/>
    </row>
    <row r="125" spans="1:34" ht="14.25">
      <c r="A125" s="11" t="s">
        <v>34</v>
      </c>
      <c r="B125" s="43" t="str">
        <f>CONCATENATE(C125,D125)</f>
        <v>SS27P2</v>
      </c>
      <c r="C125" s="24" t="s">
        <v>35</v>
      </c>
      <c r="D125" s="24" t="s">
        <v>310</v>
      </c>
      <c r="E125" s="22" t="s">
        <v>37</v>
      </c>
      <c r="F125" s="22" t="s">
        <v>499</v>
      </c>
      <c r="G125" s="22" t="s">
        <v>500</v>
      </c>
      <c r="H125" s="22" t="s">
        <v>40</v>
      </c>
      <c r="I125" s="22" t="s">
        <v>41</v>
      </c>
      <c r="J125" s="22" t="s">
        <v>225</v>
      </c>
      <c r="K125" s="22" t="s">
        <v>54</v>
      </c>
      <c r="L125" s="23"/>
      <c r="M125" s="22" t="s">
        <v>272</v>
      </c>
      <c r="N125" s="22" t="s">
        <v>273</v>
      </c>
      <c r="O125" s="22"/>
      <c r="P125" s="22"/>
      <c r="Q125" s="22"/>
      <c r="R125" s="22"/>
      <c r="S125" s="52"/>
      <c r="T125" s="52"/>
      <c r="U125" s="22"/>
      <c r="V125" s="22"/>
      <c r="W125" s="22"/>
      <c r="X125" s="22"/>
      <c r="Y125" s="22">
        <v>46108</v>
      </c>
      <c r="Z125" s="22">
        <v>46162</v>
      </c>
      <c r="AA125" s="22">
        <v>46161</v>
      </c>
      <c r="AB125" s="22"/>
      <c r="AC125" s="22"/>
      <c r="AD125" s="22" t="s">
        <v>501</v>
      </c>
      <c r="AE125" s="22">
        <v>46133</v>
      </c>
      <c r="AF125" s="22">
        <v>46134</v>
      </c>
      <c r="AG125" s="23"/>
      <c r="AH125" s="23"/>
    </row>
    <row r="126" spans="1:34" ht="14.25">
      <c r="A126" s="11" t="s">
        <v>34</v>
      </c>
      <c r="B126" s="43" t="str">
        <f>CONCATENATE(C126,D126)</f>
        <v>SS27P2</v>
      </c>
      <c r="C126" s="24" t="s">
        <v>35</v>
      </c>
      <c r="D126" s="24" t="s">
        <v>310</v>
      </c>
      <c r="E126" s="22" t="s">
        <v>37</v>
      </c>
      <c r="F126" s="22" t="s">
        <v>502</v>
      </c>
      <c r="G126" s="22" t="s">
        <v>503</v>
      </c>
      <c r="H126" s="22" t="s">
        <v>40</v>
      </c>
      <c r="I126" s="22" t="s">
        <v>41</v>
      </c>
      <c r="J126" s="22" t="s">
        <v>225</v>
      </c>
      <c r="K126" s="22"/>
      <c r="L126" s="23"/>
      <c r="M126" s="22" t="s">
        <v>272</v>
      </c>
      <c r="N126" s="22" t="s">
        <v>273</v>
      </c>
      <c r="O126" s="22"/>
      <c r="P126" s="22"/>
      <c r="Q126" s="22"/>
      <c r="R126" s="22"/>
      <c r="S126" s="52"/>
      <c r="T126" s="52"/>
      <c r="U126" s="22"/>
      <c r="V126" s="22"/>
      <c r="W126" s="22"/>
      <c r="X126" s="22"/>
      <c r="Y126" s="22">
        <v>46109</v>
      </c>
      <c r="Z126" s="22">
        <v>46164</v>
      </c>
      <c r="AA126" s="22"/>
      <c r="AB126" s="22"/>
      <c r="AC126" s="22"/>
      <c r="AD126" s="22" t="s">
        <v>498</v>
      </c>
      <c r="AE126" s="22">
        <v>46133</v>
      </c>
      <c r="AF126" s="22">
        <v>46134</v>
      </c>
      <c r="AG126" s="23"/>
      <c r="AH126" s="23"/>
    </row>
    <row r="127" spans="1:34" ht="14.25">
      <c r="A127" s="11" t="s">
        <v>34</v>
      </c>
      <c r="B127" s="43" t="str">
        <f>CONCATENATE(C127,D127)</f>
        <v>SS27P2</v>
      </c>
      <c r="C127" s="24" t="s">
        <v>35</v>
      </c>
      <c r="D127" s="24" t="s">
        <v>310</v>
      </c>
      <c r="E127" s="22" t="s">
        <v>37</v>
      </c>
      <c r="F127" s="22" t="s">
        <v>504</v>
      </c>
      <c r="G127" s="22" t="s">
        <v>505</v>
      </c>
      <c r="H127" s="22" t="s">
        <v>40</v>
      </c>
      <c r="I127" s="22" t="s">
        <v>41</v>
      </c>
      <c r="J127" s="22" t="s">
        <v>225</v>
      </c>
      <c r="K127" s="22"/>
      <c r="L127" s="23"/>
      <c r="M127" s="22" t="s">
        <v>272</v>
      </c>
      <c r="N127" s="22" t="s">
        <v>506</v>
      </c>
      <c r="O127" s="22"/>
      <c r="P127" s="22"/>
      <c r="Q127" s="22"/>
      <c r="R127" s="22"/>
      <c r="S127" s="52"/>
      <c r="T127" s="52"/>
      <c r="U127" s="22"/>
      <c r="V127" s="22"/>
      <c r="W127" s="22"/>
      <c r="X127" s="22"/>
      <c r="Y127" s="22">
        <v>46140</v>
      </c>
      <c r="Z127" s="22">
        <v>46164</v>
      </c>
      <c r="AA127" s="22"/>
      <c r="AB127" s="22"/>
      <c r="AC127" s="22"/>
      <c r="AD127" s="22" t="s">
        <v>507</v>
      </c>
      <c r="AE127" s="22">
        <v>46133</v>
      </c>
      <c r="AF127" s="22">
        <v>46134</v>
      </c>
      <c r="AG127" s="23"/>
      <c r="AH127" s="23"/>
    </row>
    <row r="128" spans="1:34" ht="14.25">
      <c r="A128" s="11" t="s">
        <v>34</v>
      </c>
      <c r="B128" s="43" t="str">
        <f t="shared" ref="B128:B135" si="7">CONCATENATE(C128,D128)</f>
        <v>SS27P2</v>
      </c>
      <c r="C128" s="24" t="s">
        <v>35</v>
      </c>
      <c r="D128" s="24" t="s">
        <v>310</v>
      </c>
      <c r="E128" s="22" t="s">
        <v>508</v>
      </c>
      <c r="F128" s="22" t="s">
        <v>509</v>
      </c>
      <c r="G128" s="22" t="s">
        <v>510</v>
      </c>
      <c r="H128" s="22" t="s">
        <v>108</v>
      </c>
      <c r="I128" s="22" t="s">
        <v>109</v>
      </c>
      <c r="J128" s="22" t="s">
        <v>225</v>
      </c>
      <c r="K128" s="22"/>
      <c r="L128" s="23"/>
      <c r="M128" s="22" t="s">
        <v>110</v>
      </c>
      <c r="N128" s="22" t="s">
        <v>511</v>
      </c>
      <c r="O128" s="22">
        <v>46044</v>
      </c>
      <c r="P128" s="22"/>
      <c r="Q128" s="22"/>
      <c r="R128" s="22"/>
      <c r="S128" s="52"/>
      <c r="T128" s="52"/>
      <c r="U128" s="22"/>
      <c r="V128" s="22"/>
      <c r="W128" s="22"/>
      <c r="X128" s="22"/>
      <c r="Y128" s="22" t="s">
        <v>42</v>
      </c>
      <c r="Z128" s="22"/>
      <c r="AA128" s="22"/>
      <c r="AB128" s="22"/>
      <c r="AC128" s="22"/>
      <c r="AD128" s="22"/>
      <c r="AE128" s="22">
        <v>46170</v>
      </c>
      <c r="AF128" s="22" t="s">
        <v>383</v>
      </c>
      <c r="AG128" s="23"/>
      <c r="AH128" s="23"/>
    </row>
    <row r="129" spans="1:34" ht="14.25">
      <c r="A129" s="11" t="s">
        <v>34</v>
      </c>
      <c r="B129" s="43" t="str">
        <f t="shared" si="7"/>
        <v>SS27P2</v>
      </c>
      <c r="C129" s="24" t="s">
        <v>35</v>
      </c>
      <c r="D129" s="24" t="s">
        <v>310</v>
      </c>
      <c r="E129" s="22" t="s">
        <v>508</v>
      </c>
      <c r="F129" s="22" t="s">
        <v>512</v>
      </c>
      <c r="G129" s="22" t="s">
        <v>513</v>
      </c>
      <c r="H129" s="22" t="s">
        <v>108</v>
      </c>
      <c r="I129" s="22" t="s">
        <v>109</v>
      </c>
      <c r="J129" s="22" t="s">
        <v>225</v>
      </c>
      <c r="K129" s="22"/>
      <c r="L129" s="23"/>
      <c r="M129" s="22" t="s">
        <v>110</v>
      </c>
      <c r="N129" s="22" t="s">
        <v>511</v>
      </c>
      <c r="O129" s="22">
        <v>46044</v>
      </c>
      <c r="P129" s="22"/>
      <c r="Q129" s="22"/>
      <c r="R129" s="22"/>
      <c r="S129" s="52"/>
      <c r="T129" s="52"/>
      <c r="U129" s="22"/>
      <c r="V129" s="22"/>
      <c r="W129" s="22"/>
      <c r="X129" s="22"/>
      <c r="Y129" s="22" t="s">
        <v>42</v>
      </c>
      <c r="Z129" s="22"/>
      <c r="AA129" s="22"/>
      <c r="AB129" s="22"/>
      <c r="AC129" s="22"/>
      <c r="AD129" s="22"/>
      <c r="AE129" s="22">
        <v>46170</v>
      </c>
      <c r="AF129" s="22">
        <v>46167</v>
      </c>
      <c r="AG129" s="23"/>
      <c r="AH129" s="23"/>
    </row>
    <row r="130" spans="1:34" ht="14.25">
      <c r="A130" s="11" t="s">
        <v>34</v>
      </c>
      <c r="B130" s="43" t="str">
        <f t="shared" si="7"/>
        <v>SS27P2</v>
      </c>
      <c r="C130" s="24" t="s">
        <v>35</v>
      </c>
      <c r="D130" s="24" t="s">
        <v>310</v>
      </c>
      <c r="E130" s="22" t="s">
        <v>508</v>
      </c>
      <c r="F130" s="22" t="s">
        <v>514</v>
      </c>
      <c r="G130" s="22" t="s">
        <v>515</v>
      </c>
      <c r="H130" s="22" t="s">
        <v>108</v>
      </c>
      <c r="I130" s="22" t="s">
        <v>109</v>
      </c>
      <c r="J130" s="22" t="s">
        <v>225</v>
      </c>
      <c r="K130" s="22"/>
      <c r="L130" s="23"/>
      <c r="M130" s="22" t="s">
        <v>222</v>
      </c>
      <c r="N130" s="22" t="s">
        <v>42</v>
      </c>
      <c r="O130" s="22"/>
      <c r="P130" s="22"/>
      <c r="Q130" s="22"/>
      <c r="R130" s="22"/>
      <c r="S130" s="52"/>
      <c r="T130" s="52"/>
      <c r="U130" s="22"/>
      <c r="V130" s="22"/>
      <c r="W130" s="22"/>
      <c r="X130" s="22"/>
      <c r="Y130" s="22" t="s">
        <v>42</v>
      </c>
      <c r="Z130" s="22" t="s">
        <v>46</v>
      </c>
      <c r="AA130" s="22"/>
      <c r="AB130" s="22"/>
      <c r="AC130" s="22"/>
      <c r="AD130" s="22" t="s">
        <v>213</v>
      </c>
      <c r="AE130" s="22">
        <v>46170</v>
      </c>
      <c r="AF130" s="22" t="s">
        <v>383</v>
      </c>
      <c r="AG130" s="23"/>
      <c r="AH130" s="23"/>
    </row>
    <row r="131" spans="1:34" ht="14.25">
      <c r="A131" s="11" t="s">
        <v>34</v>
      </c>
      <c r="B131" s="43" t="str">
        <f t="shared" si="7"/>
        <v>SS27P2</v>
      </c>
      <c r="C131" s="24" t="s">
        <v>35</v>
      </c>
      <c r="D131" s="24" t="s">
        <v>310</v>
      </c>
      <c r="E131" s="22" t="s">
        <v>516</v>
      </c>
      <c r="F131" s="22" t="s">
        <v>517</v>
      </c>
      <c r="G131" s="22" t="s">
        <v>518</v>
      </c>
      <c r="H131" s="22" t="s">
        <v>40</v>
      </c>
      <c r="I131" s="22" t="s">
        <v>41</v>
      </c>
      <c r="J131" s="22" t="s">
        <v>225</v>
      </c>
      <c r="K131" s="22"/>
      <c r="L131" s="23"/>
      <c r="M131" s="22" t="s">
        <v>272</v>
      </c>
      <c r="N131" s="22" t="s">
        <v>519</v>
      </c>
      <c r="O131" s="22">
        <v>46044</v>
      </c>
      <c r="P131" s="22"/>
      <c r="Q131" s="22"/>
      <c r="R131" s="22"/>
      <c r="S131" s="52"/>
      <c r="T131" s="52"/>
      <c r="U131" s="22"/>
      <c r="V131" s="22"/>
      <c r="W131" s="22"/>
      <c r="X131" s="22"/>
      <c r="Y131" s="22">
        <v>46171</v>
      </c>
      <c r="Z131" s="22"/>
      <c r="AA131" s="22"/>
      <c r="AB131" s="22"/>
      <c r="AC131" s="22"/>
      <c r="AD131" s="22"/>
      <c r="AE131" s="22">
        <v>46170</v>
      </c>
      <c r="AF131" s="22">
        <v>46167</v>
      </c>
      <c r="AG131" s="23"/>
      <c r="AH131" s="23"/>
    </row>
    <row r="132" spans="1:34" ht="14.25">
      <c r="A132" s="11" t="s">
        <v>34</v>
      </c>
      <c r="B132" s="43" t="str">
        <f t="shared" si="7"/>
        <v>SS27P2</v>
      </c>
      <c r="C132" s="24" t="s">
        <v>35</v>
      </c>
      <c r="D132" s="24" t="s">
        <v>310</v>
      </c>
      <c r="E132" s="22" t="s">
        <v>516</v>
      </c>
      <c r="F132" s="22" t="s">
        <v>520</v>
      </c>
      <c r="G132" s="22" t="s">
        <v>521</v>
      </c>
      <c r="H132" s="22" t="s">
        <v>40</v>
      </c>
      <c r="I132" s="22" t="s">
        <v>41</v>
      </c>
      <c r="J132" s="22" t="s">
        <v>225</v>
      </c>
      <c r="K132" s="22" t="s">
        <v>54</v>
      </c>
      <c r="L132" s="23"/>
      <c r="M132" s="22" t="s">
        <v>119</v>
      </c>
      <c r="N132" s="22" t="s">
        <v>419</v>
      </c>
      <c r="O132" s="22">
        <v>46044</v>
      </c>
      <c r="P132" s="22"/>
      <c r="Q132" s="22"/>
      <c r="R132" s="22"/>
      <c r="S132" s="52"/>
      <c r="T132" s="52"/>
      <c r="U132" s="22"/>
      <c r="V132" s="22"/>
      <c r="W132" s="22"/>
      <c r="X132" s="22"/>
      <c r="Y132" s="22">
        <v>46171</v>
      </c>
      <c r="Z132" s="22"/>
      <c r="AA132" s="22"/>
      <c r="AB132" s="22"/>
      <c r="AC132" s="22"/>
      <c r="AD132" s="22"/>
      <c r="AE132" s="22">
        <v>46170</v>
      </c>
      <c r="AF132" s="22" t="s">
        <v>383</v>
      </c>
      <c r="AG132" s="23"/>
      <c r="AH132" s="23"/>
    </row>
    <row r="133" spans="1:34" ht="14.25">
      <c r="A133" s="11" t="s">
        <v>34</v>
      </c>
      <c r="B133" s="43" t="str">
        <f t="shared" si="7"/>
        <v>SS27P2</v>
      </c>
      <c r="C133" s="24" t="s">
        <v>35</v>
      </c>
      <c r="D133" s="24" t="s">
        <v>310</v>
      </c>
      <c r="E133" s="22" t="s">
        <v>522</v>
      </c>
      <c r="F133" s="22" t="s">
        <v>523</v>
      </c>
      <c r="G133" s="22" t="s">
        <v>524</v>
      </c>
      <c r="H133" s="22" t="s">
        <v>40</v>
      </c>
      <c r="I133" s="22" t="s">
        <v>41</v>
      </c>
      <c r="J133" s="22" t="s">
        <v>225</v>
      </c>
      <c r="K133" s="22"/>
      <c r="L133" s="23"/>
      <c r="M133" s="22" t="s">
        <v>119</v>
      </c>
      <c r="N133" s="22" t="s">
        <v>525</v>
      </c>
      <c r="O133" s="22">
        <v>46409</v>
      </c>
      <c r="P133" s="22"/>
      <c r="Q133" s="22"/>
      <c r="R133" s="22"/>
      <c r="S133" s="52"/>
      <c r="T133" s="52"/>
      <c r="U133" s="22"/>
      <c r="V133" s="22"/>
      <c r="W133" s="22"/>
      <c r="X133" s="22"/>
      <c r="Y133" s="22">
        <v>46171</v>
      </c>
      <c r="Z133" s="22"/>
      <c r="AA133" s="22"/>
      <c r="AB133" s="22"/>
      <c r="AC133" s="22"/>
      <c r="AD133" s="22"/>
      <c r="AE133" s="22">
        <v>46170</v>
      </c>
      <c r="AF133" s="22" t="s">
        <v>383</v>
      </c>
      <c r="AG133" s="23"/>
      <c r="AH133" s="23"/>
    </row>
    <row r="134" spans="1:34" ht="14.25">
      <c r="A134" s="11" t="s">
        <v>34</v>
      </c>
      <c r="B134" s="43" t="str">
        <f t="shared" si="7"/>
        <v>SS27P2</v>
      </c>
      <c r="C134" s="24" t="s">
        <v>35</v>
      </c>
      <c r="D134" s="24" t="s">
        <v>310</v>
      </c>
      <c r="E134" s="22" t="s">
        <v>522</v>
      </c>
      <c r="F134" s="22" t="s">
        <v>526</v>
      </c>
      <c r="G134" s="22" t="s">
        <v>527</v>
      </c>
      <c r="H134" s="22" t="s">
        <v>40</v>
      </c>
      <c r="I134" s="22" t="s">
        <v>41</v>
      </c>
      <c r="J134" s="22" t="s">
        <v>225</v>
      </c>
      <c r="K134" s="22"/>
      <c r="L134" s="23"/>
      <c r="M134" s="22" t="s">
        <v>119</v>
      </c>
      <c r="N134" s="22" t="s">
        <v>354</v>
      </c>
      <c r="O134" s="22">
        <v>46409</v>
      </c>
      <c r="P134" s="22"/>
      <c r="Q134" s="22"/>
      <c r="R134" s="22"/>
      <c r="S134" s="52"/>
      <c r="T134" s="52"/>
      <c r="U134" s="22"/>
      <c r="V134" s="22"/>
      <c r="W134" s="22"/>
      <c r="X134" s="22"/>
      <c r="Y134" s="22">
        <v>46171</v>
      </c>
      <c r="Z134" s="22"/>
      <c r="AA134" s="22"/>
      <c r="AB134" s="22"/>
      <c r="AC134" s="22"/>
      <c r="AD134" s="22"/>
      <c r="AE134" s="22">
        <v>46170</v>
      </c>
      <c r="AF134" s="22" t="s">
        <v>383</v>
      </c>
      <c r="AG134" s="23"/>
      <c r="AH134" s="23"/>
    </row>
    <row r="135" spans="1:34" ht="14.25">
      <c r="A135" s="11" t="s">
        <v>34</v>
      </c>
      <c r="B135" s="43" t="str">
        <f t="shared" si="7"/>
        <v>SS27P2</v>
      </c>
      <c r="C135" s="24" t="s">
        <v>35</v>
      </c>
      <c r="D135" s="24" t="s">
        <v>310</v>
      </c>
      <c r="E135" s="22" t="s">
        <v>522</v>
      </c>
      <c r="F135" s="22" t="s">
        <v>528</v>
      </c>
      <c r="G135" s="22" t="s">
        <v>529</v>
      </c>
      <c r="H135" s="22" t="s">
        <v>40</v>
      </c>
      <c r="I135" s="22" t="s">
        <v>41</v>
      </c>
      <c r="J135" s="22" t="s">
        <v>225</v>
      </c>
      <c r="K135" s="22" t="s">
        <v>54</v>
      </c>
      <c r="L135" s="23"/>
      <c r="M135" s="22" t="s">
        <v>272</v>
      </c>
      <c r="N135" s="22" t="s">
        <v>530</v>
      </c>
      <c r="O135" s="22">
        <v>46409</v>
      </c>
      <c r="P135" s="22"/>
      <c r="Q135" s="22"/>
      <c r="R135" s="22"/>
      <c r="S135" s="52"/>
      <c r="T135" s="52"/>
      <c r="U135" s="22"/>
      <c r="V135" s="22"/>
      <c r="W135" s="22"/>
      <c r="X135" s="22"/>
      <c r="Y135" s="22">
        <v>46171</v>
      </c>
      <c r="Z135" s="22"/>
      <c r="AA135" s="22"/>
      <c r="AB135" s="22"/>
      <c r="AC135" s="22"/>
      <c r="AD135" s="22"/>
      <c r="AE135" s="22">
        <v>46170</v>
      </c>
      <c r="AF135" s="22">
        <v>46167</v>
      </c>
      <c r="AG135" s="23"/>
      <c r="AH135" s="23"/>
    </row>
    <row r="136" spans="1:34" ht="14.25">
      <c r="B136" s="43"/>
      <c r="C136" s="24"/>
      <c r="D136" s="24"/>
      <c r="E136" s="22"/>
      <c r="F136" s="22"/>
      <c r="G136" s="22"/>
      <c r="H136" s="22"/>
      <c r="I136" s="22"/>
      <c r="J136" s="22"/>
      <c r="K136" s="22"/>
      <c r="L136" s="23"/>
      <c r="M136" s="22"/>
      <c r="N136" s="22"/>
      <c r="O136" s="22"/>
      <c r="P136" s="22"/>
      <c r="Q136" s="22"/>
      <c r="R136" s="22"/>
      <c r="S136" s="52"/>
      <c r="T136" s="5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3"/>
      <c r="AH136" s="23"/>
    </row>
    <row r="137" spans="1:34" ht="14.25">
      <c r="B137" s="43"/>
      <c r="C137" s="24"/>
      <c r="D137" s="24"/>
      <c r="E137" s="22"/>
      <c r="F137" s="22"/>
      <c r="G137" s="22"/>
      <c r="H137" s="22"/>
      <c r="I137" s="22"/>
      <c r="J137" s="22"/>
      <c r="K137" s="22"/>
      <c r="L137" s="23"/>
      <c r="M137" s="22"/>
      <c r="N137" s="22"/>
      <c r="O137" s="22"/>
      <c r="P137" s="22"/>
      <c r="Q137" s="22"/>
      <c r="R137" s="22"/>
      <c r="S137" s="52"/>
      <c r="T137" s="5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3"/>
      <c r="AH137" s="23"/>
    </row>
    <row r="138" spans="1:34" ht="14.25">
      <c r="B138" s="43"/>
      <c r="C138" s="24"/>
      <c r="D138" s="24"/>
      <c r="E138" s="22"/>
      <c r="F138" s="22"/>
      <c r="G138" s="22"/>
      <c r="H138" s="22"/>
      <c r="I138" s="22"/>
      <c r="J138" s="22"/>
      <c r="K138" s="22"/>
      <c r="L138" s="23"/>
      <c r="M138" s="22"/>
      <c r="N138" s="22"/>
      <c r="O138" s="22"/>
      <c r="P138" s="22"/>
      <c r="Q138" s="22"/>
      <c r="R138" s="22"/>
      <c r="S138" s="52"/>
      <c r="T138" s="5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3"/>
      <c r="AH138" s="23"/>
    </row>
    <row r="139" spans="1:34" ht="14.25">
      <c r="B139" s="43"/>
      <c r="C139" s="24"/>
      <c r="D139" s="24"/>
      <c r="E139" s="22"/>
      <c r="F139" s="22"/>
      <c r="G139" s="22"/>
      <c r="H139" s="22"/>
      <c r="I139" s="22"/>
      <c r="J139" s="22"/>
      <c r="K139" s="22"/>
      <c r="L139" s="23"/>
      <c r="M139" s="22"/>
      <c r="N139" s="22"/>
      <c r="O139" s="22"/>
      <c r="P139" s="22"/>
      <c r="Q139" s="22"/>
      <c r="R139" s="22"/>
      <c r="S139" s="52"/>
      <c r="T139" s="5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3"/>
      <c r="AH139" s="23"/>
    </row>
    <row r="140" spans="1:34" ht="14.25">
      <c r="B140" s="43"/>
      <c r="C140" s="24"/>
      <c r="D140" s="24"/>
      <c r="E140" s="22"/>
      <c r="F140" s="22"/>
      <c r="G140" s="22"/>
      <c r="H140" s="22"/>
      <c r="I140" s="22"/>
      <c r="J140" s="22"/>
      <c r="K140" s="22"/>
      <c r="L140" s="23"/>
      <c r="M140" s="22"/>
      <c r="N140" s="22"/>
      <c r="O140" s="22"/>
      <c r="P140" s="22"/>
      <c r="Q140" s="22"/>
      <c r="R140" s="22"/>
      <c r="S140" s="52"/>
      <c r="T140" s="5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3"/>
      <c r="AH140" s="23"/>
    </row>
    <row r="141" spans="1:34" ht="14.25">
      <c r="B141" s="43"/>
      <c r="C141" s="24"/>
      <c r="D141" s="24"/>
      <c r="E141" s="22"/>
      <c r="F141" s="22"/>
      <c r="G141" s="22"/>
      <c r="H141" s="22"/>
      <c r="I141" s="22"/>
      <c r="J141" s="22"/>
      <c r="K141" s="22"/>
      <c r="L141" s="23"/>
      <c r="M141" s="22"/>
      <c r="N141" s="22"/>
      <c r="O141" s="22"/>
      <c r="P141" s="22"/>
      <c r="Q141" s="22"/>
      <c r="R141" s="22"/>
      <c r="S141" s="52"/>
      <c r="T141" s="5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3"/>
      <c r="AH141" s="23"/>
    </row>
    <row r="142" spans="1:34" ht="14.25">
      <c r="B142" s="43"/>
      <c r="C142" s="24"/>
      <c r="D142" s="24"/>
      <c r="E142" s="22"/>
      <c r="F142" s="22"/>
      <c r="G142" s="22"/>
      <c r="H142" s="22"/>
      <c r="I142" s="22"/>
      <c r="J142" s="22"/>
      <c r="K142" s="22"/>
      <c r="L142" s="23"/>
      <c r="M142" s="22"/>
      <c r="N142" s="22"/>
      <c r="O142" s="22"/>
      <c r="P142" s="22"/>
      <c r="Q142" s="22"/>
      <c r="R142" s="22"/>
      <c r="S142" s="52"/>
      <c r="T142" s="5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3"/>
      <c r="AH142" s="23"/>
    </row>
    <row r="143" spans="1:34" ht="14.25">
      <c r="B143" s="43"/>
      <c r="C143" s="24"/>
      <c r="D143" s="24"/>
      <c r="E143" s="22"/>
      <c r="F143" s="22"/>
      <c r="G143" s="22"/>
      <c r="H143" s="22"/>
      <c r="I143" s="22"/>
      <c r="J143" s="22"/>
      <c r="K143" s="22"/>
      <c r="L143" s="23"/>
      <c r="M143" s="22"/>
      <c r="N143" s="22"/>
      <c r="O143" s="22"/>
      <c r="P143" s="22"/>
      <c r="Q143" s="22"/>
      <c r="R143" s="22"/>
      <c r="S143" s="52"/>
      <c r="T143" s="5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3"/>
      <c r="AH143" s="23"/>
    </row>
    <row r="144" spans="1:34" ht="14.25">
      <c r="B144" s="43"/>
      <c r="C144" s="24"/>
      <c r="D144" s="24"/>
      <c r="E144" s="22"/>
      <c r="F144" s="22"/>
      <c r="G144" s="22"/>
      <c r="H144" s="22"/>
      <c r="I144" s="22"/>
      <c r="J144" s="22"/>
      <c r="K144" s="22"/>
      <c r="L144" s="23"/>
      <c r="M144" s="22"/>
      <c r="N144" s="22"/>
      <c r="O144" s="22"/>
      <c r="P144" s="22"/>
      <c r="Q144" s="22"/>
      <c r="R144" s="22"/>
      <c r="S144" s="52"/>
      <c r="T144" s="5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3"/>
      <c r="AH144" s="23"/>
    </row>
    <row r="147" spans="2:34">
      <c r="B147" s="56" t="s">
        <v>531</v>
      </c>
    </row>
    <row r="148" spans="2:34" ht="14.25">
      <c r="B148" s="66" t="str">
        <f t="shared" ref="B148:B152" si="8">CONCATENATE(C148,D148)</f>
        <v>SS27P1</v>
      </c>
      <c r="C148" s="67" t="s">
        <v>35</v>
      </c>
      <c r="D148" s="67" t="s">
        <v>231</v>
      </c>
      <c r="E148" s="68" t="s">
        <v>319</v>
      </c>
      <c r="F148" s="68" t="s">
        <v>532</v>
      </c>
      <c r="G148" s="68" t="s">
        <v>533</v>
      </c>
      <c r="H148" s="68" t="s">
        <v>51</v>
      </c>
      <c r="I148" s="68" t="s">
        <v>52</v>
      </c>
      <c r="J148" s="69" t="s">
        <v>534</v>
      </c>
      <c r="K148" s="69"/>
      <c r="L148" s="70"/>
      <c r="M148" s="71" t="s">
        <v>55</v>
      </c>
      <c r="N148" s="68" t="s">
        <v>99</v>
      </c>
      <c r="O148" s="69">
        <v>46305</v>
      </c>
      <c r="P148" s="69"/>
      <c r="Q148" s="69"/>
      <c r="R148" s="69"/>
      <c r="S148" s="72"/>
      <c r="T148" s="73"/>
      <c r="U148" s="74"/>
      <c r="V148" s="74"/>
      <c r="W148" s="74"/>
      <c r="X148" s="72"/>
      <c r="Y148" s="21">
        <v>46090</v>
      </c>
      <c r="Z148" s="22" t="s">
        <v>42</v>
      </c>
      <c r="AA148" s="22"/>
      <c r="AB148" s="23"/>
      <c r="AC148" s="21"/>
      <c r="AD148" s="24" t="s">
        <v>535</v>
      </c>
      <c r="AE148" s="21"/>
      <c r="AF148" s="21"/>
      <c r="AG148" s="23"/>
      <c r="AH148" s="23"/>
    </row>
    <row r="149" spans="2:34" ht="14.25">
      <c r="B149" s="66" t="str">
        <f t="shared" si="8"/>
        <v>SS27P1</v>
      </c>
      <c r="C149" s="67" t="s">
        <v>35</v>
      </c>
      <c r="D149" s="67" t="s">
        <v>231</v>
      </c>
      <c r="E149" s="68" t="s">
        <v>536</v>
      </c>
      <c r="F149" s="68" t="s">
        <v>537</v>
      </c>
      <c r="G149" s="68" t="s">
        <v>538</v>
      </c>
      <c r="H149" s="68" t="s">
        <v>40</v>
      </c>
      <c r="I149" s="68" t="s">
        <v>41</v>
      </c>
      <c r="J149" s="69" t="s">
        <v>539</v>
      </c>
      <c r="K149" s="69"/>
      <c r="L149" s="70"/>
      <c r="M149" s="71" t="s">
        <v>55</v>
      </c>
      <c r="N149" s="68" t="s">
        <v>70</v>
      </c>
      <c r="O149" s="69">
        <v>46333</v>
      </c>
      <c r="P149" s="69"/>
      <c r="Q149" s="69"/>
      <c r="R149" s="69"/>
      <c r="S149" s="72"/>
      <c r="T149" s="73"/>
      <c r="U149" s="74"/>
      <c r="V149" s="74"/>
      <c r="W149" s="74"/>
      <c r="X149" s="72"/>
      <c r="Y149" s="21">
        <v>46078</v>
      </c>
      <c r="Z149" s="22" t="s">
        <v>42</v>
      </c>
      <c r="AA149" s="22"/>
      <c r="AB149" s="23"/>
      <c r="AC149" s="21"/>
      <c r="AD149" s="24" t="s">
        <v>535</v>
      </c>
      <c r="AE149" s="21"/>
      <c r="AF149" s="21"/>
      <c r="AG149" s="23"/>
      <c r="AH149" s="23"/>
    </row>
    <row r="150" spans="2:34" ht="14.25">
      <c r="B150" s="66" t="str">
        <f t="shared" si="8"/>
        <v>SS27P1</v>
      </c>
      <c r="C150" s="67" t="s">
        <v>35</v>
      </c>
      <c r="D150" s="67" t="s">
        <v>231</v>
      </c>
      <c r="E150" s="68" t="s">
        <v>323</v>
      </c>
      <c r="F150" s="68" t="s">
        <v>540</v>
      </c>
      <c r="G150" s="68" t="s">
        <v>541</v>
      </c>
      <c r="H150" s="68" t="s">
        <v>40</v>
      </c>
      <c r="I150" s="68" t="s">
        <v>41</v>
      </c>
      <c r="J150" s="69" t="s">
        <v>542</v>
      </c>
      <c r="K150" s="69"/>
      <c r="L150" s="70"/>
      <c r="M150" s="71" t="s">
        <v>119</v>
      </c>
      <c r="N150" s="68" t="s">
        <v>60</v>
      </c>
      <c r="O150" s="69">
        <v>46361</v>
      </c>
      <c r="P150" s="69"/>
      <c r="Q150" s="69"/>
      <c r="R150" s="69"/>
      <c r="S150" s="72"/>
      <c r="T150" s="73"/>
      <c r="U150" s="74"/>
      <c r="V150" s="74"/>
      <c r="W150" s="74"/>
      <c r="X150" s="72"/>
      <c r="Y150" s="21">
        <v>46086</v>
      </c>
      <c r="Z150" s="22" t="s">
        <v>42</v>
      </c>
      <c r="AA150" s="22"/>
      <c r="AB150" s="23"/>
      <c r="AC150" s="21"/>
      <c r="AD150" s="24" t="s">
        <v>535</v>
      </c>
      <c r="AE150" s="21"/>
      <c r="AF150" s="21"/>
      <c r="AG150" s="23"/>
      <c r="AH150" s="23"/>
    </row>
    <row r="151" spans="2:34" ht="14.25">
      <c r="B151" s="66" t="str">
        <f t="shared" si="8"/>
        <v>SS27P1</v>
      </c>
      <c r="C151" s="67" t="s">
        <v>35</v>
      </c>
      <c r="D151" s="67" t="s">
        <v>231</v>
      </c>
      <c r="E151" s="68" t="s">
        <v>319</v>
      </c>
      <c r="F151" s="68" t="s">
        <v>543</v>
      </c>
      <c r="G151" s="68" t="s">
        <v>544</v>
      </c>
      <c r="H151" s="68" t="s">
        <v>51</v>
      </c>
      <c r="I151" s="68" t="s">
        <v>52</v>
      </c>
      <c r="J151" s="69" t="s">
        <v>545</v>
      </c>
      <c r="K151" s="69"/>
      <c r="L151" s="70"/>
      <c r="M151" s="71" t="s">
        <v>55</v>
      </c>
      <c r="N151" s="68" t="s">
        <v>294</v>
      </c>
      <c r="O151" s="69">
        <v>46375</v>
      </c>
      <c r="P151" s="69"/>
      <c r="Q151" s="69"/>
      <c r="R151" s="69"/>
      <c r="S151" s="72"/>
      <c r="T151" s="73"/>
      <c r="U151" s="74"/>
      <c r="V151" s="74"/>
      <c r="W151" s="74"/>
      <c r="X151" s="72"/>
      <c r="Y151" s="21">
        <v>46090</v>
      </c>
      <c r="Z151" s="22" t="s">
        <v>42</v>
      </c>
      <c r="AA151" s="22"/>
      <c r="AB151" s="23"/>
      <c r="AC151" s="21"/>
      <c r="AD151" s="24" t="s">
        <v>535</v>
      </c>
      <c r="AE151" s="21"/>
      <c r="AF151" s="21"/>
      <c r="AG151" s="23"/>
      <c r="AH151" s="23"/>
    </row>
    <row r="152" spans="2:34" ht="14.25">
      <c r="B152" s="66" t="str">
        <f t="shared" si="8"/>
        <v>SS27P1</v>
      </c>
      <c r="C152" s="67" t="s">
        <v>35</v>
      </c>
      <c r="D152" s="67" t="s">
        <v>231</v>
      </c>
      <c r="E152" s="68"/>
      <c r="F152" s="68" t="s">
        <v>546</v>
      </c>
      <c r="G152" s="68" t="s">
        <v>547</v>
      </c>
      <c r="H152" s="68" t="s">
        <v>40</v>
      </c>
      <c r="I152" s="68" t="s">
        <v>41</v>
      </c>
      <c r="J152" s="69" t="s">
        <v>548</v>
      </c>
      <c r="K152" s="69"/>
      <c r="L152" s="70"/>
      <c r="M152" s="71" t="s">
        <v>55</v>
      </c>
      <c r="N152" s="68" t="s">
        <v>549</v>
      </c>
      <c r="O152" s="69"/>
      <c r="P152" s="69"/>
      <c r="Q152" s="69"/>
      <c r="R152" s="69"/>
      <c r="S152" s="72"/>
      <c r="T152" s="73"/>
      <c r="U152" s="74"/>
      <c r="V152" s="74"/>
      <c r="W152" s="74"/>
      <c r="X152" s="72"/>
      <c r="Y152" s="21">
        <v>46090</v>
      </c>
      <c r="Z152" s="22" t="s">
        <v>42</v>
      </c>
      <c r="AA152" s="22"/>
      <c r="AB152" s="23"/>
      <c r="AC152" s="21"/>
      <c r="AD152" s="24" t="s">
        <v>535</v>
      </c>
      <c r="AE152" s="21"/>
      <c r="AF152" s="21"/>
      <c r="AG152" s="23"/>
      <c r="AH152" s="23"/>
    </row>
    <row r="153" spans="2:34" ht="14.25">
      <c r="B153" s="66" t="str">
        <f>CONCATENATE(C153,D153)</f>
        <v>SS27P0</v>
      </c>
      <c r="C153" s="67" t="s">
        <v>35</v>
      </c>
      <c r="D153" s="67" t="s">
        <v>36</v>
      </c>
      <c r="E153" s="68" t="s">
        <v>116</v>
      </c>
      <c r="F153" s="68" t="s">
        <v>550</v>
      </c>
      <c r="G153" s="68" t="s">
        <v>551</v>
      </c>
      <c r="H153" s="68" t="s">
        <v>51</v>
      </c>
      <c r="I153" s="68" t="s">
        <v>52</v>
      </c>
      <c r="J153" s="69" t="s">
        <v>83</v>
      </c>
      <c r="K153" s="69" t="s">
        <v>531</v>
      </c>
      <c r="L153" s="70"/>
      <c r="M153" s="71" t="s">
        <v>119</v>
      </c>
      <c r="N153" s="68" t="s">
        <v>181</v>
      </c>
      <c r="O153" s="69">
        <v>46325</v>
      </c>
      <c r="P153" s="69">
        <v>46325</v>
      </c>
      <c r="Q153" s="69">
        <v>46163</v>
      </c>
      <c r="R153" s="69"/>
      <c r="S153" s="72">
        <v>500</v>
      </c>
      <c r="T153" s="73"/>
      <c r="U153" s="74">
        <v>3.9</v>
      </c>
      <c r="V153" s="74"/>
      <c r="W153" s="74"/>
      <c r="X153" s="72"/>
      <c r="Y153" s="21">
        <v>46070</v>
      </c>
      <c r="Z153" s="22">
        <v>46077</v>
      </c>
      <c r="AA153" s="22">
        <v>46078</v>
      </c>
      <c r="AB153" s="23"/>
      <c r="AC153" s="21"/>
      <c r="AD153" s="24" t="s">
        <v>552</v>
      </c>
      <c r="AE153" s="21">
        <v>46059</v>
      </c>
      <c r="AF153" s="21">
        <v>46120</v>
      </c>
      <c r="AG153" s="23"/>
      <c r="AH153" s="23"/>
    </row>
    <row r="154" spans="2:34" ht="14.25">
      <c r="B154" s="66" t="str">
        <f>CONCATENATE(C154,D154)</f>
        <v>SS27P0</v>
      </c>
      <c r="C154" s="67" t="s">
        <v>35</v>
      </c>
      <c r="D154" s="67" t="s">
        <v>36</v>
      </c>
      <c r="E154" s="68" t="s">
        <v>116</v>
      </c>
      <c r="F154" s="68" t="s">
        <v>553</v>
      </c>
      <c r="G154" s="68" t="s">
        <v>554</v>
      </c>
      <c r="H154" s="68" t="s">
        <v>51</v>
      </c>
      <c r="I154" s="68" t="s">
        <v>52</v>
      </c>
      <c r="J154" s="69" t="s">
        <v>83</v>
      </c>
      <c r="K154" s="69" t="s">
        <v>531</v>
      </c>
      <c r="L154" s="70"/>
      <c r="M154" s="71" t="s">
        <v>44</v>
      </c>
      <c r="N154" s="68" t="s">
        <v>181</v>
      </c>
      <c r="O154" s="69">
        <v>46325</v>
      </c>
      <c r="P154" s="69">
        <v>46325</v>
      </c>
      <c r="Q154" s="69">
        <v>46163</v>
      </c>
      <c r="R154" s="69"/>
      <c r="S154" s="72">
        <v>7500</v>
      </c>
      <c r="T154" s="73"/>
      <c r="U154" s="74">
        <v>4.75</v>
      </c>
      <c r="V154" s="74"/>
      <c r="W154" s="74"/>
      <c r="X154" s="72"/>
      <c r="Y154" s="21">
        <v>46070</v>
      </c>
      <c r="Z154" s="22">
        <v>46136</v>
      </c>
      <c r="AA154" s="22">
        <v>46136</v>
      </c>
      <c r="AB154" s="23"/>
      <c r="AC154" s="21"/>
      <c r="AD154" s="24" t="s">
        <v>76</v>
      </c>
      <c r="AE154" s="21">
        <v>46059</v>
      </c>
      <c r="AF154" s="21">
        <v>46120</v>
      </c>
      <c r="AG154" s="23"/>
      <c r="AH154" s="23"/>
    </row>
  </sheetData>
  <autoFilter ref="B1:AJ135"/>
  <printOptions horizontalCentered="1"/>
  <pageMargins left="0.25" right="0.25" top="0.75" bottom="0.75" header="0.3" footer="0.3"/>
  <pageSetup paperSize="9" scale="78" fitToWidth="2" fitToHeight="0" orientation="landscape" r:id="rId1"/>
  <headerFooter>
    <oddHeader>&amp;L&amp;D &amp;T&amp;C&amp;F &amp;A</oddHeader>
    <oddFooter>Page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'[1]validation list'!#REF!</xm:f>
          </x14:formula1>
          <xm:sqref>M1:M1048576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SS27</vt:lpstr>
      <vt:lpstr>'SS27'!Impression_des_titres</vt:lpstr>
      <vt:lpstr>'SS27'!Zone_d_impression</vt:lpstr>
    </vt:vector>
  </TitlesOfParts>
  <Company>HY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MAHERY</dc:creator>
  <cp:lastModifiedBy>MAHERY</cp:lastModifiedBy>
  <dcterms:created xsi:type="dcterms:W3CDTF">2026-05-30T10:27:09Z</dcterms:created>
  <dcterms:modified xsi:type="dcterms:W3CDTF">2026-05-30T10:27:25Z</dcterms:modified>
</cp:coreProperties>
</file>